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illa\Downloads\"/>
    </mc:Choice>
  </mc:AlternateContent>
  <xr:revisionPtr revIDLastSave="0" documentId="13_ncr:1_{95B96D9C-B78E-41E4-B7F3-742E81F86686}" xr6:coauthVersionLast="47" xr6:coauthVersionMax="47" xr10:uidLastSave="{00000000-0000-0000-0000-000000000000}"/>
  <bookViews>
    <workbookView xWindow="-103" yWindow="-103" windowWidth="22149" windowHeight="11949" firstSheet="1" activeTab="5" xr2:uid="{00000000-000D-0000-FFFF-FFFF00000000}"/>
  </bookViews>
  <sheets>
    <sheet name="CHART" sheetId="11" r:id="rId1"/>
    <sheet name="Income Analysis" sheetId="10" r:id="rId2"/>
    <sheet name="Financial Activites" sheetId="3" r:id="rId3"/>
    <sheet name="Cashflow" sheetId="9" r:id="rId4"/>
    <sheet name="Income - 12 Period" sheetId="1" r:id="rId5"/>
    <sheet name="January Financial Statement" sheetId="17" r:id="rId6"/>
    <sheet name="February Financial Statement" sheetId="24" r:id="rId7"/>
    <sheet name="March Financial Statement" sheetId="25" r:id="rId8"/>
    <sheet name="April Financial Statement" sheetId="26" r:id="rId9"/>
    <sheet name="May Financial Statement" sheetId="28" r:id="rId10"/>
    <sheet name="June Financial Statement" sheetId="29" r:id="rId11"/>
    <sheet name="July Financial Statement" sheetId="30" r:id="rId12"/>
    <sheet name="August Financial Statement" sheetId="31" r:id="rId13"/>
    <sheet name="September Financial Statement" sheetId="32" r:id="rId14"/>
    <sheet name="October Financial Statement" sheetId="33" r:id="rId15"/>
    <sheet name="November Financial Statement" sheetId="34" r:id="rId16"/>
    <sheet name="December Financial Statement" sheetId="35" r:id="rId17"/>
    <sheet name="Expenses" sheetId="36" r:id="rId18"/>
  </sheets>
  <definedNames>
    <definedName name="_xlnm.Print_Area" localSheetId="3">Cashflow!$A$1:$B$31</definedName>
    <definedName name="_xlnm.Print_Area" localSheetId="0">CHART!$A$1:$B$37</definedName>
    <definedName name="_xlnm.Print_Area" localSheetId="2">'Financial Activites'!$A$1:$B$83</definedName>
    <definedName name="_xlnm.Print_Area" localSheetId="4">'Income - 12 Period'!$A$1:$N$99</definedName>
    <definedName name="_xlnm.Print_Area" localSheetId="1">'Income Analysis'!$A$1:$B$42</definedName>
    <definedName name="_xlnm.Print_Titles" localSheetId="4">'Income - 12 Period'!$1:$1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0" l="1"/>
  <c r="B26" i="10"/>
  <c r="B21" i="3"/>
  <c r="B24" i="10" s="1"/>
  <c r="B23" i="3"/>
  <c r="N83" i="1" l="1"/>
  <c r="N84" i="1"/>
  <c r="N85" i="1"/>
  <c r="N86" i="1"/>
  <c r="N91" i="1"/>
  <c r="N2" i="1"/>
  <c r="N11" i="1"/>
  <c r="D82" i="35"/>
  <c r="B82" i="35"/>
  <c r="D82" i="34"/>
  <c r="B82" i="34"/>
  <c r="D91" i="32"/>
  <c r="D94" i="32" s="1"/>
  <c r="D97" i="32" s="1"/>
  <c r="C94" i="32"/>
  <c r="D92" i="32"/>
  <c r="D93" i="32"/>
  <c r="D92" i="31"/>
  <c r="D87" i="32"/>
  <c r="B78" i="32"/>
  <c r="D87" i="31"/>
  <c r="D88" i="31"/>
  <c r="D89" i="31"/>
  <c r="D92" i="29"/>
  <c r="D76" i="29"/>
  <c r="D22" i="29"/>
  <c r="D38" i="29" s="1"/>
  <c r="D20" i="31" l="1"/>
  <c r="D20" i="30"/>
  <c r="N16" i="1"/>
  <c r="N4" i="1"/>
  <c r="N31" i="1" l="1"/>
  <c r="N24" i="1" l="1"/>
  <c r="N33" i="1"/>
  <c r="N82" i="1"/>
  <c r="D93" i="34" l="1"/>
  <c r="D20" i="33"/>
  <c r="D77" i="33"/>
  <c r="D88" i="33"/>
  <c r="D89" i="33"/>
  <c r="D90" i="33"/>
  <c r="C93" i="34" l="1"/>
  <c r="D90" i="34"/>
  <c r="D91" i="34"/>
  <c r="D92" i="34"/>
  <c r="B95" i="35"/>
  <c r="B23" i="35"/>
  <c r="D77" i="35"/>
  <c r="D22" i="35"/>
  <c r="D19" i="35"/>
  <c r="C23" i="35"/>
  <c r="D85" i="34"/>
  <c r="B80" i="35"/>
  <c r="D77" i="34"/>
  <c r="D23" i="34"/>
  <c r="L19" i="1"/>
  <c r="L35" i="1" s="1"/>
  <c r="L96" i="1"/>
  <c r="M19" i="1" l="1"/>
  <c r="C23" i="34"/>
  <c r="B80" i="34"/>
  <c r="C22" i="33"/>
  <c r="B22" i="33"/>
  <c r="D22" i="33"/>
  <c r="B23" i="34"/>
  <c r="N18" i="1"/>
  <c r="K19" i="1"/>
  <c r="J19" i="1"/>
  <c r="I19" i="1"/>
  <c r="H19" i="1"/>
  <c r="G19" i="1"/>
  <c r="F19" i="1"/>
  <c r="E19" i="1"/>
  <c r="D19" i="1"/>
  <c r="C19" i="1"/>
  <c r="B19" i="1"/>
  <c r="K96" i="1"/>
  <c r="C93" i="33"/>
  <c r="J96" i="1" l="1"/>
  <c r="C78" i="32"/>
  <c r="D78" i="32" s="1"/>
  <c r="B22" i="32"/>
  <c r="I96" i="1" l="1"/>
  <c r="B92" i="31"/>
  <c r="C92" i="31"/>
  <c r="C78" i="31"/>
  <c r="C38" i="31"/>
  <c r="C36" i="31"/>
  <c r="B78" i="31"/>
  <c r="B36" i="31"/>
  <c r="B22" i="31"/>
  <c r="B38" i="31" l="1"/>
  <c r="D93" i="30"/>
  <c r="D89" i="30"/>
  <c r="D90" i="30"/>
  <c r="D74" i="30"/>
  <c r="D70" i="30"/>
  <c r="D72" i="30"/>
  <c r="D71" i="30"/>
  <c r="D69" i="30"/>
  <c r="D78" i="30"/>
  <c r="D77" i="30"/>
  <c r="D76" i="30"/>
  <c r="D75" i="30"/>
  <c r="D73" i="30"/>
  <c r="C96" i="30"/>
  <c r="C93" i="30"/>
  <c r="C81" i="30"/>
  <c r="C36" i="30"/>
  <c r="C38" i="30" s="1"/>
  <c r="C22" i="30"/>
  <c r="D79" i="30" l="1"/>
  <c r="B79" i="30" l="1"/>
  <c r="D20" i="29"/>
  <c r="B22" i="30"/>
  <c r="D95" i="29"/>
  <c r="D89" i="29"/>
  <c r="D88" i="29"/>
  <c r="C92" i="29"/>
  <c r="C78" i="29" l="1"/>
  <c r="D42" i="28" l="1"/>
  <c r="D20" i="28"/>
  <c r="B22" i="29"/>
  <c r="D91" i="28"/>
  <c r="C78" i="28"/>
  <c r="D6" i="25" l="1"/>
  <c r="D72" i="26" l="1"/>
  <c r="D71" i="26"/>
  <c r="B22" i="28"/>
  <c r="D22" i="28" s="1"/>
  <c r="C78" i="26" l="1"/>
  <c r="D70" i="26"/>
  <c r="D69" i="26"/>
  <c r="B78" i="26"/>
  <c r="B22" i="26"/>
  <c r="D6" i="24"/>
  <c r="C77" i="17" l="1"/>
  <c r="M77" i="1"/>
  <c r="B10" i="36"/>
  <c r="C106" i="1" l="1"/>
  <c r="H77" i="1"/>
  <c r="G77" i="1"/>
  <c r="C79" i="30"/>
  <c r="N12" i="1"/>
  <c r="B17" i="3" s="1"/>
  <c r="B16" i="10" s="1"/>
  <c r="N64" i="1"/>
  <c r="B69" i="3" s="1"/>
  <c r="B25" i="9"/>
  <c r="B27" i="9" s="1"/>
  <c r="D90" i="35"/>
  <c r="D95" i="35" s="1"/>
  <c r="C95" i="35"/>
  <c r="C22" i="29"/>
  <c r="N44" i="1" l="1"/>
  <c r="B49" i="3" s="1"/>
  <c r="N45" i="1"/>
  <c r="B50" i="3" s="1"/>
  <c r="N46" i="1"/>
  <c r="B51" i="3" s="1"/>
  <c r="N50" i="1"/>
  <c r="B55" i="3" s="1"/>
  <c r="N55" i="1"/>
  <c r="B60" i="3" s="1"/>
  <c r="N65" i="1"/>
  <c r="B70" i="3" s="1"/>
  <c r="N66" i="1"/>
  <c r="B71" i="3" s="1"/>
  <c r="N67" i="1"/>
  <c r="B72" i="3" s="1"/>
  <c r="N68" i="1"/>
  <c r="B73" i="3" s="1"/>
  <c r="N69" i="1"/>
  <c r="B74" i="3" s="1"/>
  <c r="N70" i="1"/>
  <c r="B75" i="3" s="1"/>
  <c r="N71" i="1"/>
  <c r="B76" i="3" s="1"/>
  <c r="N72" i="1"/>
  <c r="B77" i="3" s="1"/>
  <c r="N73" i="1"/>
  <c r="B78" i="3" s="1"/>
  <c r="N74" i="1"/>
  <c r="B79" i="3" s="1"/>
  <c r="N75" i="1"/>
  <c r="B80" i="3" s="1"/>
  <c r="N39" i="1" l="1"/>
  <c r="B44" i="3" s="1"/>
  <c r="N40" i="1"/>
  <c r="B45" i="3" s="1"/>
  <c r="N41" i="1"/>
  <c r="B46" i="3" s="1"/>
  <c r="N42" i="1"/>
  <c r="B47" i="3" s="1"/>
  <c r="N43" i="1"/>
  <c r="B48" i="3" s="1"/>
  <c r="N47" i="1"/>
  <c r="B52" i="3" s="1"/>
  <c r="N48" i="1"/>
  <c r="B53" i="3" s="1"/>
  <c r="N49" i="1"/>
  <c r="B54" i="3" s="1"/>
  <c r="N51" i="1"/>
  <c r="B56" i="3" s="1"/>
  <c r="N52" i="1"/>
  <c r="B57" i="3" s="1"/>
  <c r="N53" i="1"/>
  <c r="B58" i="3" s="1"/>
  <c r="N54" i="1"/>
  <c r="B59" i="3" s="1"/>
  <c r="N56" i="1"/>
  <c r="B61" i="3" s="1"/>
  <c r="N57" i="1"/>
  <c r="B62" i="3" s="1"/>
  <c r="N58" i="1"/>
  <c r="B63" i="3" s="1"/>
  <c r="N59" i="1"/>
  <c r="B64" i="3" s="1"/>
  <c r="N60" i="1"/>
  <c r="B65" i="3" s="1"/>
  <c r="N61" i="1"/>
  <c r="B66" i="3" s="1"/>
  <c r="N62" i="1"/>
  <c r="B67" i="3" s="1"/>
  <c r="N63" i="1"/>
  <c r="B68" i="3" s="1"/>
  <c r="N38" i="1"/>
  <c r="D6" i="35"/>
  <c r="N77" i="1" l="1"/>
  <c r="B43" i="3"/>
  <c r="B36" i="29" l="1"/>
  <c r="D54" i="32"/>
  <c r="D90" i="31"/>
  <c r="C22" i="31" l="1"/>
  <c r="D6" i="31"/>
  <c r="D6" i="30"/>
  <c r="C80" i="31" l="1"/>
  <c r="C95" i="31" s="1"/>
  <c r="H96" i="1" l="1"/>
  <c r="I77" i="1"/>
  <c r="J77" i="1"/>
  <c r="K77" i="1"/>
  <c r="L77" i="1"/>
  <c r="H33" i="1"/>
  <c r="I33" i="1"/>
  <c r="J33" i="1"/>
  <c r="K33" i="1"/>
  <c r="L33" i="1"/>
  <c r="M33" i="1"/>
  <c r="D84" i="28"/>
  <c r="B92" i="29"/>
  <c r="B78" i="28"/>
  <c r="B91" i="28"/>
  <c r="B94" i="28" s="1"/>
  <c r="C91" i="28"/>
  <c r="D54" i="25"/>
  <c r="D11" i="25"/>
  <c r="D12" i="25"/>
  <c r="D13" i="25"/>
  <c r="D14" i="25"/>
  <c r="D15" i="25"/>
  <c r="D16" i="25"/>
  <c r="D17" i="25"/>
  <c r="D18" i="25"/>
  <c r="D19" i="25"/>
  <c r="D21" i="25"/>
  <c r="D8" i="25"/>
  <c r="B22" i="25"/>
  <c r="B21" i="24"/>
  <c r="D86" i="25"/>
  <c r="D55" i="25"/>
  <c r="D10" i="25"/>
  <c r="D9" i="25"/>
  <c r="H35" i="1" l="1"/>
  <c r="H79" i="1" s="1"/>
  <c r="H98" i="1" s="1"/>
  <c r="M35" i="1"/>
  <c r="L79" i="1"/>
  <c r="L98" i="1" s="1"/>
  <c r="K35" i="1"/>
  <c r="K79" i="1" s="1"/>
  <c r="K98" i="1" s="1"/>
  <c r="J35" i="1"/>
  <c r="J79" i="1" s="1"/>
  <c r="J98" i="1" s="1"/>
  <c r="I35" i="1"/>
  <c r="I79" i="1" s="1"/>
  <c r="C96" i="1"/>
  <c r="C33" i="1"/>
  <c r="C77" i="1"/>
  <c r="D6" i="17"/>
  <c r="N14" i="1"/>
  <c r="B19" i="3" s="1"/>
  <c r="B22" i="10" s="1"/>
  <c r="B6" i="3"/>
  <c r="D83" i="29"/>
  <c r="D84" i="29"/>
  <c r="D85" i="29"/>
  <c r="D86" i="29"/>
  <c r="D90" i="29"/>
  <c r="C80" i="35"/>
  <c r="C80" i="34"/>
  <c r="C37" i="34"/>
  <c r="C39" i="34" s="1"/>
  <c r="D54" i="33"/>
  <c r="D55" i="35" s="1"/>
  <c r="C36" i="33"/>
  <c r="D28" i="32"/>
  <c r="D28" i="33" s="1"/>
  <c r="D29" i="32"/>
  <c r="D29" i="33" s="1"/>
  <c r="D32" i="32"/>
  <c r="D32" i="33" s="1"/>
  <c r="D33" i="35" s="1"/>
  <c r="D33" i="32"/>
  <c r="D33" i="33" s="1"/>
  <c r="C36" i="32"/>
  <c r="D12" i="32"/>
  <c r="D12" i="33" s="1"/>
  <c r="D16" i="32"/>
  <c r="D16" i="33" s="1"/>
  <c r="D18" i="32"/>
  <c r="D18" i="33" s="1"/>
  <c r="D21" i="32"/>
  <c r="D21" i="33" s="1"/>
  <c r="D46" i="29"/>
  <c r="D46" i="30" s="1"/>
  <c r="D46" i="31" s="1"/>
  <c r="D50" i="29"/>
  <c r="D50" i="30" s="1"/>
  <c r="D50" i="31" s="1"/>
  <c r="D54" i="29"/>
  <c r="D54" i="30" s="1"/>
  <c r="D54" i="31" s="1"/>
  <c r="D58" i="29"/>
  <c r="D58" i="30" s="1"/>
  <c r="D58" i="31" s="1"/>
  <c r="D62" i="29"/>
  <c r="D62" i="30" s="1"/>
  <c r="D62" i="31" s="1"/>
  <c r="D66" i="29"/>
  <c r="D66" i="30" s="1"/>
  <c r="D66" i="31" s="1"/>
  <c r="D70" i="29"/>
  <c r="D70" i="31" s="1"/>
  <c r="D74" i="29"/>
  <c r="D74" i="31" s="1"/>
  <c r="D28" i="29"/>
  <c r="D28" i="30" s="1"/>
  <c r="D28" i="31" s="1"/>
  <c r="D29" i="29"/>
  <c r="D29" i="30" s="1"/>
  <c r="D29" i="31" s="1"/>
  <c r="D32" i="29"/>
  <c r="D32" i="30" s="1"/>
  <c r="D32" i="31" s="1"/>
  <c r="D33" i="29"/>
  <c r="D33" i="30" s="1"/>
  <c r="D33" i="31" s="1"/>
  <c r="D12" i="29"/>
  <c r="D12" i="30" s="1"/>
  <c r="D12" i="31" s="1"/>
  <c r="D16" i="29"/>
  <c r="D16" i="30" s="1"/>
  <c r="D16" i="31" s="1"/>
  <c r="D21" i="29"/>
  <c r="D21" i="30" s="1"/>
  <c r="D21" i="31" s="1"/>
  <c r="D83" i="28"/>
  <c r="D28" i="28"/>
  <c r="D29" i="28"/>
  <c r="D32" i="28"/>
  <c r="D33" i="28"/>
  <c r="D16" i="28"/>
  <c r="D21" i="28"/>
  <c r="D12" i="28"/>
  <c r="C89" i="26"/>
  <c r="D46" i="26"/>
  <c r="D50" i="26"/>
  <c r="D54" i="26"/>
  <c r="D58" i="26"/>
  <c r="D62" i="26"/>
  <c r="D66" i="26"/>
  <c r="D73" i="26"/>
  <c r="D77" i="26"/>
  <c r="D29" i="26"/>
  <c r="D33" i="26"/>
  <c r="D12" i="26"/>
  <c r="D16" i="26"/>
  <c r="D21" i="26"/>
  <c r="C91" i="25"/>
  <c r="C94" i="25" s="1"/>
  <c r="D69" i="25"/>
  <c r="D45" i="25"/>
  <c r="D46" i="25"/>
  <c r="D47" i="25"/>
  <c r="D49" i="25"/>
  <c r="D50" i="25"/>
  <c r="D53" i="25"/>
  <c r="D56" i="25"/>
  <c r="D57" i="25"/>
  <c r="D58" i="25"/>
  <c r="D59" i="25"/>
  <c r="D62" i="25"/>
  <c r="D63" i="25"/>
  <c r="D66" i="25"/>
  <c r="D67" i="25"/>
  <c r="D71" i="25"/>
  <c r="D72" i="25"/>
  <c r="D75" i="25"/>
  <c r="D76" i="25"/>
  <c r="D79" i="25"/>
  <c r="D42" i="25"/>
  <c r="C36" i="25"/>
  <c r="D28" i="25"/>
  <c r="D29" i="25"/>
  <c r="D33" i="25"/>
  <c r="D34" i="25"/>
  <c r="C79" i="33"/>
  <c r="D83" i="32"/>
  <c r="D84" i="33" s="1"/>
  <c r="D84" i="32"/>
  <c r="D85" i="33" s="1"/>
  <c r="D85" i="32"/>
  <c r="D86" i="33" s="1"/>
  <c r="D86" i="32"/>
  <c r="B87" i="33" s="1"/>
  <c r="D91" i="33"/>
  <c r="D42" i="32"/>
  <c r="D42" i="33" s="1"/>
  <c r="D43" i="35" s="1"/>
  <c r="D43" i="32"/>
  <c r="D43" i="33" s="1"/>
  <c r="D44" i="32"/>
  <c r="D44" i="33" s="1"/>
  <c r="D45" i="35" s="1"/>
  <c r="D45" i="32"/>
  <c r="D45" i="33" s="1"/>
  <c r="D46" i="32"/>
  <c r="D46" i="33" s="1"/>
  <c r="D47" i="35" s="1"/>
  <c r="D47" i="32"/>
  <c r="D47" i="33" s="1"/>
  <c r="D48" i="32"/>
  <c r="D48" i="33" s="1"/>
  <c r="D49" i="35" s="1"/>
  <c r="D49" i="32"/>
  <c r="D49" i="33" s="1"/>
  <c r="D50" i="32"/>
  <c r="D50" i="33" s="1"/>
  <c r="D51" i="32"/>
  <c r="D51" i="33" s="1"/>
  <c r="D52" i="32"/>
  <c r="D52" i="33" s="1"/>
  <c r="D53" i="35" s="1"/>
  <c r="D53" i="32"/>
  <c r="D53" i="33" s="1"/>
  <c r="D55" i="32"/>
  <c r="D55" i="33" s="1"/>
  <c r="D56" i="32"/>
  <c r="D56" i="33" s="1"/>
  <c r="D57" i="32"/>
  <c r="D57" i="33" s="1"/>
  <c r="D58" i="32"/>
  <c r="D58" i="33" s="1"/>
  <c r="D59" i="35" s="1"/>
  <c r="D59" i="32"/>
  <c r="D59" i="33" s="1"/>
  <c r="D60" i="32"/>
  <c r="D60" i="33" s="1"/>
  <c r="D61" i="35" s="1"/>
  <c r="D61" i="32"/>
  <c r="D61" i="33" s="1"/>
  <c r="D62" i="32"/>
  <c r="D62" i="33" s="1"/>
  <c r="D63" i="35" s="1"/>
  <c r="D63" i="32"/>
  <c r="D63" i="33" s="1"/>
  <c r="D64" i="32"/>
  <c r="D64" i="33" s="1"/>
  <c r="D65" i="35" s="1"/>
  <c r="D65" i="32"/>
  <c r="D65" i="33" s="1"/>
  <c r="D66" i="32"/>
  <c r="D66" i="33" s="1"/>
  <c r="D67" i="32"/>
  <c r="D67" i="33" s="1"/>
  <c r="D68" i="32"/>
  <c r="D68" i="33" s="1"/>
  <c r="D69" i="35" s="1"/>
  <c r="D69" i="32"/>
  <c r="D69" i="33" s="1"/>
  <c r="D70" i="32"/>
  <c r="D70" i="33" s="1"/>
  <c r="D71" i="35" s="1"/>
  <c r="D71" i="32"/>
  <c r="D71" i="33" s="1"/>
  <c r="D72" i="32"/>
  <c r="D72" i="33" s="1"/>
  <c r="D73" i="32"/>
  <c r="D73" i="33" s="1"/>
  <c r="D74" i="32"/>
  <c r="D74" i="33" s="1"/>
  <c r="D75" i="35" s="1"/>
  <c r="D75" i="32"/>
  <c r="D75" i="33" s="1"/>
  <c r="D76" i="32"/>
  <c r="D76" i="33" s="1"/>
  <c r="D78" i="35" s="1"/>
  <c r="D77" i="32"/>
  <c r="D78" i="33" s="1"/>
  <c r="D25" i="32"/>
  <c r="D25" i="33" s="1"/>
  <c r="D26" i="32"/>
  <c r="D26" i="33" s="1"/>
  <c r="D27" i="32"/>
  <c r="D27" i="33" s="1"/>
  <c r="D28" i="35" s="1"/>
  <c r="D30" i="32"/>
  <c r="D30" i="33" s="1"/>
  <c r="D31" i="32"/>
  <c r="D31" i="33" s="1"/>
  <c r="D34" i="32"/>
  <c r="D34" i="33" s="1"/>
  <c r="D35" i="32"/>
  <c r="D35" i="33" s="1"/>
  <c r="D36" i="35" s="1"/>
  <c r="B36" i="32"/>
  <c r="B38" i="32" s="1"/>
  <c r="B80" i="32" s="1"/>
  <c r="B97" i="32" s="1"/>
  <c r="D8" i="32"/>
  <c r="D8" i="33" s="1"/>
  <c r="D9" i="32"/>
  <c r="D9" i="33" s="1"/>
  <c r="D10" i="32"/>
  <c r="D10" i="33" s="1"/>
  <c r="D11" i="32"/>
  <c r="D11" i="33" s="1"/>
  <c r="D13" i="32"/>
  <c r="D13" i="33" s="1"/>
  <c r="D14" i="32"/>
  <c r="D14" i="33" s="1"/>
  <c r="D15" i="32"/>
  <c r="D15" i="33" s="1"/>
  <c r="D17" i="32"/>
  <c r="D17" i="33" s="1"/>
  <c r="D19" i="32"/>
  <c r="D19" i="33" s="1"/>
  <c r="D84" i="30"/>
  <c r="D83" i="31" s="1"/>
  <c r="D85" i="30"/>
  <c r="D84" i="31" s="1"/>
  <c r="D86" i="30"/>
  <c r="D85" i="31" s="1"/>
  <c r="D87" i="30"/>
  <c r="D86" i="31" s="1"/>
  <c r="D91" i="30"/>
  <c r="D42" i="29"/>
  <c r="D42" i="30" s="1"/>
  <c r="D43" i="29"/>
  <c r="D43" i="30" s="1"/>
  <c r="D43" i="31" s="1"/>
  <c r="D44" i="29"/>
  <c r="D45" i="29"/>
  <c r="D45" i="30" s="1"/>
  <c r="D45" i="31" s="1"/>
  <c r="D47" i="29"/>
  <c r="D47" i="30" s="1"/>
  <c r="D47" i="31" s="1"/>
  <c r="D48" i="29"/>
  <c r="D48" i="30" s="1"/>
  <c r="D48" i="31" s="1"/>
  <c r="D49" i="29"/>
  <c r="D49" i="30" s="1"/>
  <c r="D49" i="31" s="1"/>
  <c r="D51" i="29"/>
  <c r="D51" i="30" s="1"/>
  <c r="D51" i="31" s="1"/>
  <c r="D52" i="29"/>
  <c r="D52" i="30" s="1"/>
  <c r="D52" i="31" s="1"/>
  <c r="D53" i="29"/>
  <c r="D53" i="30" s="1"/>
  <c r="D53" i="31" s="1"/>
  <c r="D55" i="29"/>
  <c r="D55" i="30" s="1"/>
  <c r="D55" i="31" s="1"/>
  <c r="D56" i="29"/>
  <c r="D56" i="30" s="1"/>
  <c r="D56" i="31" s="1"/>
  <c r="D57" i="29"/>
  <c r="D57" i="30" s="1"/>
  <c r="D57" i="31" s="1"/>
  <c r="D59" i="29"/>
  <c r="D59" i="30" s="1"/>
  <c r="D59" i="31" s="1"/>
  <c r="D60" i="29"/>
  <c r="D60" i="30" s="1"/>
  <c r="D60" i="31" s="1"/>
  <c r="D61" i="29"/>
  <c r="D61" i="30" s="1"/>
  <c r="D61" i="31" s="1"/>
  <c r="D63" i="29"/>
  <c r="D63" i="30" s="1"/>
  <c r="D63" i="31" s="1"/>
  <c r="D64" i="29"/>
  <c r="D64" i="30" s="1"/>
  <c r="D64" i="31" s="1"/>
  <c r="D65" i="29"/>
  <c r="D65" i="30" s="1"/>
  <c r="D65" i="31" s="1"/>
  <c r="D67" i="29"/>
  <c r="D67" i="30" s="1"/>
  <c r="D67" i="31" s="1"/>
  <c r="D68" i="29"/>
  <c r="D68" i="31" s="1"/>
  <c r="D69" i="29"/>
  <c r="D69" i="31" s="1"/>
  <c r="D71" i="29"/>
  <c r="D71" i="31" s="1"/>
  <c r="D72" i="29"/>
  <c r="D72" i="31" s="1"/>
  <c r="D73" i="29"/>
  <c r="D73" i="31" s="1"/>
  <c r="D75" i="29"/>
  <c r="D75" i="31" s="1"/>
  <c r="D76" i="31"/>
  <c r="D77" i="29"/>
  <c r="D77" i="31" s="1"/>
  <c r="B78" i="29"/>
  <c r="D25" i="29"/>
  <c r="D25" i="30" s="1"/>
  <c r="D25" i="31" s="1"/>
  <c r="D26" i="29"/>
  <c r="D26" i="30" s="1"/>
  <c r="D26" i="31" s="1"/>
  <c r="C36" i="29"/>
  <c r="D27" i="29"/>
  <c r="D27" i="30" s="1"/>
  <c r="D27" i="31" s="1"/>
  <c r="D30" i="29"/>
  <c r="D30" i="30" s="1"/>
  <c r="D30" i="31" s="1"/>
  <c r="D31" i="29"/>
  <c r="D31" i="30" s="1"/>
  <c r="D31" i="31" s="1"/>
  <c r="D34" i="29"/>
  <c r="D34" i="30" s="1"/>
  <c r="D34" i="31" s="1"/>
  <c r="D35" i="29"/>
  <c r="D35" i="30" s="1"/>
  <c r="D35" i="31" s="1"/>
  <c r="D8" i="29"/>
  <c r="D8" i="30" s="1"/>
  <c r="D8" i="31" s="1"/>
  <c r="D9" i="29"/>
  <c r="D9" i="30" s="1"/>
  <c r="D9" i="31" s="1"/>
  <c r="D10" i="29"/>
  <c r="D10" i="30" s="1"/>
  <c r="D10" i="31" s="1"/>
  <c r="D11" i="29"/>
  <c r="D11" i="30" s="1"/>
  <c r="D11" i="31" s="1"/>
  <c r="D13" i="29"/>
  <c r="D13" i="30" s="1"/>
  <c r="D13" i="31" s="1"/>
  <c r="D14" i="29"/>
  <c r="D14" i="30" s="1"/>
  <c r="D14" i="31" s="1"/>
  <c r="D15" i="29"/>
  <c r="D15" i="30" s="1"/>
  <c r="D15" i="31" s="1"/>
  <c r="D17" i="29"/>
  <c r="D17" i="30" s="1"/>
  <c r="D17" i="31" s="1"/>
  <c r="D18" i="29"/>
  <c r="D18" i="30" s="1"/>
  <c r="D18" i="31" s="1"/>
  <c r="D19" i="29"/>
  <c r="D19" i="30" s="1"/>
  <c r="D19" i="31" s="1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25" i="28"/>
  <c r="D26" i="28"/>
  <c r="D27" i="28"/>
  <c r="C36" i="28"/>
  <c r="D30" i="28"/>
  <c r="D31" i="28"/>
  <c r="D34" i="28"/>
  <c r="D35" i="28"/>
  <c r="B36" i="28"/>
  <c r="D8" i="28"/>
  <c r="D9" i="28"/>
  <c r="D10" i="28"/>
  <c r="D11" i="28"/>
  <c r="D13" i="28"/>
  <c r="D14" i="28"/>
  <c r="D15" i="28"/>
  <c r="D17" i="28"/>
  <c r="D18" i="28"/>
  <c r="D19" i="28"/>
  <c r="B89" i="26"/>
  <c r="D83" i="26"/>
  <c r="D84" i="26"/>
  <c r="D85" i="26"/>
  <c r="D86" i="26"/>
  <c r="D87" i="26"/>
  <c r="D42" i="26"/>
  <c r="D43" i="26"/>
  <c r="D44" i="26"/>
  <c r="D45" i="26"/>
  <c r="D47" i="26"/>
  <c r="D48" i="26"/>
  <c r="D49" i="26"/>
  <c r="D51" i="26"/>
  <c r="D52" i="26"/>
  <c r="D53" i="26"/>
  <c r="D55" i="26"/>
  <c r="D56" i="26"/>
  <c r="D57" i="26"/>
  <c r="D59" i="26"/>
  <c r="D60" i="26"/>
  <c r="D61" i="26"/>
  <c r="D63" i="26"/>
  <c r="D64" i="26"/>
  <c r="D65" i="26"/>
  <c r="D67" i="26"/>
  <c r="D68" i="26"/>
  <c r="D74" i="26"/>
  <c r="D75" i="26"/>
  <c r="D76" i="26"/>
  <c r="D25" i="26"/>
  <c r="D26" i="26"/>
  <c r="D27" i="26"/>
  <c r="D28" i="26"/>
  <c r="D30" i="26"/>
  <c r="D31" i="26"/>
  <c r="D32" i="26"/>
  <c r="D34" i="26"/>
  <c r="D35" i="26"/>
  <c r="B36" i="26"/>
  <c r="C36" i="26"/>
  <c r="D11" i="26"/>
  <c r="D13" i="26"/>
  <c r="D14" i="26"/>
  <c r="D15" i="26"/>
  <c r="D17" i="26"/>
  <c r="D18" i="26"/>
  <c r="D19" i="26"/>
  <c r="B91" i="25"/>
  <c r="D85" i="25"/>
  <c r="D87" i="25"/>
  <c r="D88" i="25"/>
  <c r="D89" i="25"/>
  <c r="D43" i="25"/>
  <c r="D44" i="25"/>
  <c r="D48" i="25"/>
  <c r="D51" i="25"/>
  <c r="D52" i="25"/>
  <c r="D60" i="25"/>
  <c r="D61" i="25"/>
  <c r="D64" i="25"/>
  <c r="D65" i="25"/>
  <c r="D68" i="25"/>
  <c r="D70" i="25"/>
  <c r="D73" i="25"/>
  <c r="D74" i="25"/>
  <c r="D77" i="25"/>
  <c r="D78" i="25"/>
  <c r="B80" i="25"/>
  <c r="D26" i="25"/>
  <c r="D27" i="25"/>
  <c r="D30" i="25"/>
  <c r="D31" i="25"/>
  <c r="D32" i="25"/>
  <c r="D35" i="25"/>
  <c r="B36" i="25"/>
  <c r="D87" i="33" l="1"/>
  <c r="D93" i="33" s="1"/>
  <c r="B93" i="33"/>
  <c r="B79" i="33"/>
  <c r="D79" i="33" s="1"/>
  <c r="B36" i="33"/>
  <c r="M79" i="1"/>
  <c r="M98" i="1" s="1"/>
  <c r="N27" i="1"/>
  <c r="B32" i="3" s="1"/>
  <c r="B34" i="10" s="1"/>
  <c r="N13" i="1"/>
  <c r="B18" i="3" s="1"/>
  <c r="B21" i="10" s="1"/>
  <c r="B27" i="10" s="1"/>
  <c r="N30" i="1"/>
  <c r="B35" i="3" s="1"/>
  <c r="B37" i="10" s="1"/>
  <c r="N26" i="1"/>
  <c r="B31" i="3" s="1"/>
  <c r="B33" i="10" s="1"/>
  <c r="B36" i="3"/>
  <c r="B38" i="10" s="1"/>
  <c r="N23" i="1"/>
  <c r="B28" i="3" s="1"/>
  <c r="B30" i="10" s="1"/>
  <c r="N17" i="1"/>
  <c r="B22" i="3" s="1"/>
  <c r="B16" i="3"/>
  <c r="B15" i="10" s="1"/>
  <c r="N22" i="1"/>
  <c r="B27" i="3" s="1"/>
  <c r="B17" i="10" s="1"/>
  <c r="N29" i="1"/>
  <c r="B34" i="3" s="1"/>
  <c r="B36" i="10" s="1"/>
  <c r="N25" i="1"/>
  <c r="B30" i="3" s="1"/>
  <c r="B32" i="10" s="1"/>
  <c r="N15" i="1"/>
  <c r="B20" i="3" s="1"/>
  <c r="B23" i="10" s="1"/>
  <c r="N10" i="1"/>
  <c r="B15" i="3" s="1"/>
  <c r="B14" i="10" s="1"/>
  <c r="N32" i="1"/>
  <c r="B37" i="3" s="1"/>
  <c r="B39" i="10" s="1"/>
  <c r="N28" i="1"/>
  <c r="B33" i="3" s="1"/>
  <c r="B35" i="10" s="1"/>
  <c r="B29" i="3"/>
  <c r="B31" i="10" s="1"/>
  <c r="N9" i="1"/>
  <c r="D47" i="34"/>
  <c r="D63" i="34"/>
  <c r="I98" i="1"/>
  <c r="D44" i="30"/>
  <c r="D44" i="31" s="1"/>
  <c r="D42" i="31"/>
  <c r="D43" i="34"/>
  <c r="D71" i="34"/>
  <c r="D55" i="34"/>
  <c r="D61" i="34"/>
  <c r="D49" i="34"/>
  <c r="D36" i="34"/>
  <c r="D21" i="35"/>
  <c r="D16" i="35"/>
  <c r="D14" i="35"/>
  <c r="D27" i="34"/>
  <c r="D27" i="35"/>
  <c r="D73" i="34"/>
  <c r="D73" i="35"/>
  <c r="D62" i="34"/>
  <c r="D62" i="35"/>
  <c r="D52" i="34"/>
  <c r="D52" i="35"/>
  <c r="D46" i="34"/>
  <c r="D46" i="35"/>
  <c r="D34" i="34"/>
  <c r="D34" i="35"/>
  <c r="D13" i="35"/>
  <c r="D85" i="35"/>
  <c r="D31" i="34"/>
  <c r="D31" i="35"/>
  <c r="B37" i="34"/>
  <c r="D72" i="34"/>
  <c r="D72" i="35"/>
  <c r="D66" i="34"/>
  <c r="D66" i="35"/>
  <c r="D56" i="34"/>
  <c r="D56" i="35"/>
  <c r="D50" i="34"/>
  <c r="D50" i="35"/>
  <c r="D87" i="34"/>
  <c r="D87" i="35"/>
  <c r="D28" i="34"/>
  <c r="D69" i="34"/>
  <c r="D59" i="34"/>
  <c r="D30" i="34"/>
  <c r="D30" i="35"/>
  <c r="D33" i="34"/>
  <c r="D32" i="34"/>
  <c r="D32" i="35"/>
  <c r="D79" i="34"/>
  <c r="D79" i="35"/>
  <c r="D68" i="34"/>
  <c r="D68" i="35"/>
  <c r="D57" i="34"/>
  <c r="D57" i="35"/>
  <c r="D88" i="34"/>
  <c r="D88" i="35"/>
  <c r="D20" i="35"/>
  <c r="D17" i="35"/>
  <c r="D35" i="34"/>
  <c r="D35" i="35"/>
  <c r="D29" i="34"/>
  <c r="D29" i="35"/>
  <c r="D76" i="34"/>
  <c r="D76" i="35"/>
  <c r="D70" i="34"/>
  <c r="D70" i="35"/>
  <c r="D60" i="34"/>
  <c r="D60" i="35"/>
  <c r="D54" i="34"/>
  <c r="D54" i="35"/>
  <c r="D80" i="34"/>
  <c r="D86" i="34"/>
  <c r="D78" i="34"/>
  <c r="D65" i="34"/>
  <c r="D45" i="34"/>
  <c r="D67" i="34"/>
  <c r="D67" i="35"/>
  <c r="D51" i="34"/>
  <c r="D51" i="35"/>
  <c r="D15" i="35"/>
  <c r="D18" i="35"/>
  <c r="D74" i="34"/>
  <c r="D74" i="35"/>
  <c r="D64" i="34"/>
  <c r="D64" i="35"/>
  <c r="D58" i="34"/>
  <c r="D58" i="35"/>
  <c r="D48" i="34"/>
  <c r="D48" i="35"/>
  <c r="D89" i="34"/>
  <c r="D89" i="35"/>
  <c r="D75" i="34"/>
  <c r="D53" i="34"/>
  <c r="B39" i="34"/>
  <c r="D44" i="34"/>
  <c r="C35" i="1"/>
  <c r="C79" i="1" s="1"/>
  <c r="C98" i="1" s="1"/>
  <c r="G96" i="1"/>
  <c r="E96" i="1"/>
  <c r="F96" i="1"/>
  <c r="C37" i="35"/>
  <c r="D26" i="34"/>
  <c r="D89" i="26"/>
  <c r="D78" i="26"/>
  <c r="D36" i="26"/>
  <c r="C80" i="25"/>
  <c r="D80" i="25" s="1"/>
  <c r="D91" i="25"/>
  <c r="D25" i="25"/>
  <c r="D36" i="25" s="1"/>
  <c r="B38" i="25"/>
  <c r="D36" i="33"/>
  <c r="D38" i="33" s="1"/>
  <c r="B38" i="29"/>
  <c r="B38" i="28"/>
  <c r="D36" i="32"/>
  <c r="D36" i="31"/>
  <c r="D36" i="30"/>
  <c r="D36" i="29"/>
  <c r="B36" i="30" s="1"/>
  <c r="D78" i="29"/>
  <c r="D36" i="28"/>
  <c r="D78" i="28"/>
  <c r="B14" i="3" l="1"/>
  <c r="B13" i="10" s="1"/>
  <c r="N96" i="1"/>
  <c r="B38" i="33"/>
  <c r="B81" i="33" s="1"/>
  <c r="B96" i="33" s="1"/>
  <c r="D78" i="31"/>
  <c r="D37" i="34"/>
  <c r="D86" i="35"/>
  <c r="B37" i="35"/>
  <c r="B39" i="35" s="1"/>
  <c r="D26" i="35"/>
  <c r="D37" i="35" s="1"/>
  <c r="D80" i="35"/>
  <c r="D44" i="35"/>
  <c r="B80" i="29"/>
  <c r="B82" i="25"/>
  <c r="B94" i="25" s="1"/>
  <c r="D26" i="24"/>
  <c r="D28" i="24"/>
  <c r="D32" i="24"/>
  <c r="D33" i="24"/>
  <c r="D34" i="24"/>
  <c r="D12" i="24"/>
  <c r="D13" i="24"/>
  <c r="D15" i="24"/>
  <c r="D16" i="24"/>
  <c r="D19" i="24"/>
  <c r="D20" i="24"/>
  <c r="B77" i="24"/>
  <c r="B89" i="24"/>
  <c r="C89" i="24"/>
  <c r="D82" i="24"/>
  <c r="D83" i="24"/>
  <c r="D84" i="24"/>
  <c r="D85" i="24"/>
  <c r="D86" i="24"/>
  <c r="C77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24" i="24"/>
  <c r="D25" i="24"/>
  <c r="D27" i="24"/>
  <c r="D29" i="24"/>
  <c r="D30" i="24"/>
  <c r="D31" i="24"/>
  <c r="B35" i="24"/>
  <c r="D8" i="24"/>
  <c r="D9" i="24"/>
  <c r="D10" i="24"/>
  <c r="D11" i="24"/>
  <c r="D14" i="24"/>
  <c r="D17" i="24"/>
  <c r="D18" i="24"/>
  <c r="D73" i="17"/>
  <c r="B80" i="31" l="1"/>
  <c r="B95" i="31" s="1"/>
  <c r="D89" i="24"/>
  <c r="D77" i="24"/>
  <c r="D35" i="24"/>
  <c r="B37" i="24"/>
  <c r="B79" i="24" s="1"/>
  <c r="D41" i="24"/>
  <c r="C35" i="24"/>
  <c r="B92" i="24" l="1"/>
  <c r="C89" i="17"/>
  <c r="B89" i="17"/>
  <c r="D86" i="17"/>
  <c r="D85" i="17"/>
  <c r="D84" i="17"/>
  <c r="D83" i="17"/>
  <c r="D82" i="17"/>
  <c r="B77" i="17"/>
  <c r="D76" i="17"/>
  <c r="D75" i="17"/>
  <c r="D74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B35" i="17"/>
  <c r="D34" i="17"/>
  <c r="D33" i="17"/>
  <c r="D32" i="17"/>
  <c r="D31" i="17"/>
  <c r="D30" i="17"/>
  <c r="D29" i="17"/>
  <c r="D28" i="17"/>
  <c r="D27" i="17"/>
  <c r="D26" i="17"/>
  <c r="D24" i="17"/>
  <c r="B21" i="17"/>
  <c r="B37" i="17" s="1"/>
  <c r="B79" i="17" s="1"/>
  <c r="B92" i="17" s="1"/>
  <c r="D20" i="17"/>
  <c r="D19" i="17"/>
  <c r="D18" i="17"/>
  <c r="D17" i="17"/>
  <c r="D16" i="17"/>
  <c r="D15" i="17"/>
  <c r="D14" i="17"/>
  <c r="D13" i="17"/>
  <c r="D12" i="17"/>
  <c r="D11" i="17"/>
  <c r="D10" i="17"/>
  <c r="D9" i="17"/>
  <c r="C21" i="17"/>
  <c r="B96" i="1"/>
  <c r="B17" i="9"/>
  <c r="B18" i="9"/>
  <c r="B16" i="9"/>
  <c r="B15" i="9"/>
  <c r="B14" i="9"/>
  <c r="A11" i="11" s="1"/>
  <c r="B41" i="11" s="1"/>
  <c r="F77" i="1"/>
  <c r="E77" i="1"/>
  <c r="D77" i="1"/>
  <c r="B77" i="1"/>
  <c r="G33" i="1"/>
  <c r="F33" i="1"/>
  <c r="E33" i="1"/>
  <c r="D33" i="1"/>
  <c r="B33" i="1"/>
  <c r="B36" i="9"/>
  <c r="D89" i="17" l="1"/>
  <c r="A14" i="11"/>
  <c r="B42" i="11" s="1"/>
  <c r="B20" i="9"/>
  <c r="B81" i="3"/>
  <c r="B6" i="10"/>
  <c r="A16" i="11"/>
  <c r="B44" i="11" s="1"/>
  <c r="C35" i="17"/>
  <c r="C37" i="17" s="1"/>
  <c r="D77" i="17"/>
  <c r="D21" i="17"/>
  <c r="D41" i="17"/>
  <c r="D8" i="17"/>
  <c r="D25" i="17"/>
  <c r="D35" i="17" s="1"/>
  <c r="A8" i="11" l="1"/>
  <c r="B40" i="11" s="1"/>
  <c r="B84" i="3"/>
  <c r="B40" i="10"/>
  <c r="B38" i="3"/>
  <c r="C79" i="17"/>
  <c r="C92" i="17" s="1"/>
  <c r="D37" i="17"/>
  <c r="D79" i="17" l="1"/>
  <c r="D92" i="17" s="1"/>
  <c r="C21" i="24"/>
  <c r="D21" i="24" l="1"/>
  <c r="D37" i="24" s="1"/>
  <c r="D79" i="24" s="1"/>
  <c r="C37" i="24"/>
  <c r="C79" i="24" l="1"/>
  <c r="C92" i="24" s="1"/>
  <c r="D35" i="1" s="1"/>
  <c r="D79" i="1" s="1"/>
  <c r="D98" i="1" s="1"/>
  <c r="C22" i="25"/>
  <c r="D22" i="25" l="1"/>
  <c r="D38" i="25" s="1"/>
  <c r="D82" i="25" s="1"/>
  <c r="D94" i="25" s="1"/>
  <c r="C38" i="25"/>
  <c r="C82" i="25" s="1"/>
  <c r="E35" i="1" s="1"/>
  <c r="E79" i="1" s="1"/>
  <c r="E98" i="1" s="1"/>
  <c r="D6" i="26" l="1"/>
  <c r="D22" i="26" s="1"/>
  <c r="C22" i="26"/>
  <c r="C38" i="26" l="1"/>
  <c r="C80" i="26" s="1"/>
  <c r="C92" i="26" s="1"/>
  <c r="F35" i="1" s="1"/>
  <c r="F79" i="1" s="1"/>
  <c r="F98" i="1" s="1"/>
  <c r="F111" i="1" l="1"/>
  <c r="D6" i="28"/>
  <c r="C22" i="28"/>
  <c r="C38" i="28" l="1"/>
  <c r="C80" i="28" s="1"/>
  <c r="C94" i="28" s="1"/>
  <c r="G35" i="1" s="1"/>
  <c r="G79" i="1" s="1"/>
  <c r="D38" i="28"/>
  <c r="D80" i="28" s="1"/>
  <c r="C38" i="29" l="1"/>
  <c r="C80" i="29" s="1"/>
  <c r="C95" i="29" s="1"/>
  <c r="B38" i="30" l="1"/>
  <c r="D22" i="30"/>
  <c r="D38" i="30" s="1"/>
  <c r="D81" i="30" s="1"/>
  <c r="D6" i="32" l="1"/>
  <c r="C22" i="32"/>
  <c r="C38" i="32" l="1"/>
  <c r="C80" i="32" s="1"/>
  <c r="C97" i="32" s="1"/>
  <c r="D22" i="32"/>
  <c r="D38" i="32" s="1"/>
  <c r="D80" i="32" s="1"/>
  <c r="D6" i="33" l="1"/>
  <c r="C38" i="33" l="1"/>
  <c r="C81" i="33" s="1"/>
  <c r="C96" i="33" s="1"/>
  <c r="D81" i="33"/>
  <c r="D96" i="33" s="1"/>
  <c r="B96" i="34" s="1"/>
  <c r="D6" i="34" l="1"/>
  <c r="C82" i="34" l="1"/>
  <c r="C96" i="34" s="1"/>
  <c r="D39" i="34"/>
  <c r="D96" i="34" s="1"/>
  <c r="C39" i="35" l="1"/>
  <c r="C82" i="35" s="1"/>
  <c r="C98" i="35" s="1"/>
  <c r="D22" i="31" l="1"/>
  <c r="D38" i="31" s="1"/>
  <c r="D80" i="31" l="1"/>
  <c r="D95" i="31" s="1"/>
  <c r="D8" i="35"/>
  <c r="D9" i="35"/>
  <c r="D11" i="35"/>
  <c r="D23" i="35"/>
  <c r="D39" i="35" s="1"/>
  <c r="D10" i="35"/>
  <c r="D12" i="35"/>
  <c r="D98" i="35" l="1"/>
  <c r="B98" i="35"/>
  <c r="N5" i="1" l="1"/>
  <c r="B10" i="3" s="1"/>
  <c r="B9" i="10" s="1"/>
  <c r="N7" i="1"/>
  <c r="B12" i="3"/>
  <c r="B11" i="10" s="1"/>
  <c r="N8" i="1"/>
  <c r="N6" i="1"/>
  <c r="B11" i="3" s="1"/>
  <c r="B10" i="10" s="1"/>
  <c r="B35" i="1"/>
  <c r="B79" i="1" s="1"/>
  <c r="B98" i="1" s="1"/>
  <c r="B13" i="3" l="1"/>
  <c r="B12" i="10" s="1"/>
  <c r="N19" i="1"/>
  <c r="N35" i="1"/>
  <c r="N79" i="1" s="1"/>
  <c r="N98" i="1" s="1"/>
  <c r="B9" i="3"/>
  <c r="B8" i="10" l="1"/>
  <c r="B18" i="10" s="1"/>
  <c r="B42" i="10" s="1"/>
  <c r="B24" i="3"/>
  <c r="B40" i="3" l="1"/>
  <c r="B83" i="3" s="1"/>
  <c r="B7" i="9" s="1"/>
  <c r="B8" i="9" s="1"/>
  <c r="B10" i="9" s="1"/>
  <c r="B29" i="9" s="1"/>
  <c r="B35" i="9" s="1"/>
  <c r="B38" i="9" s="1"/>
  <c r="C40" i="3" l="1"/>
  <c r="A19" i="11"/>
  <c r="B43" i="11" s="1"/>
  <c r="D8" i="26"/>
  <c r="D38" i="26"/>
  <c r="D80" i="26" s="1"/>
  <c r="D92" i="26" s="1"/>
  <c r="B38" i="26" l="1"/>
  <c r="B80" i="26" s="1"/>
  <c r="B92" i="26" s="1"/>
  <c r="D10" i="26"/>
  <c r="D9" i="26"/>
  <c r="D92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562089-FE59-4EFD-930C-47A0287C1FA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<sst xmlns="http://schemas.openxmlformats.org/spreadsheetml/2006/main" count="1320" uniqueCount="180">
  <si>
    <t>THE MASTER'S PLACE INT'L CHURCH</t>
  </si>
  <si>
    <t xml:space="preserve">Revenue: </t>
  </si>
  <si>
    <t xml:space="preserve">Kingdom Investment </t>
  </si>
  <si>
    <r>
      <t xml:space="preserve">Surplus: </t>
    </r>
    <r>
      <rPr>
        <sz val="28"/>
        <color rgb="FF000000"/>
        <rFont val="Arial"/>
        <family val="2"/>
      </rPr>
      <t/>
    </r>
  </si>
  <si>
    <t>Recurrent Expenditure</t>
  </si>
  <si>
    <t>Surplus</t>
  </si>
  <si>
    <t>AMOUNT</t>
  </si>
  <si>
    <t>Balance Brought Forward</t>
  </si>
  <si>
    <t>Income Heads</t>
  </si>
  <si>
    <t>    Home Connect Offering</t>
  </si>
  <si>
    <t>    OFFERING</t>
  </si>
  <si>
    <t>    PROJECT OFFERING</t>
  </si>
  <si>
    <t>    SACRIFICE</t>
  </si>
  <si>
    <t>    SALE OF MATERIAL OFFERING</t>
  </si>
  <si>
    <t>    STUDIO-RESOURCE MATERIAL</t>
  </si>
  <si>
    <t>    THANKSGIVING OFFERING</t>
  </si>
  <si>
    <t>    TITHE</t>
  </si>
  <si>
    <t>    TMA FEE</t>
  </si>
  <si>
    <t>  Interest Received from FX</t>
  </si>
  <si>
    <t>Total</t>
  </si>
  <si>
    <t>20% Remittance from TMP Campuses</t>
  </si>
  <si>
    <t>    TMP BENIN</t>
  </si>
  <si>
    <t>    TMP OGBOMOSO</t>
  </si>
  <si>
    <t>    TMP SAPELE</t>
  </si>
  <si>
    <t>    TMP UGHELI</t>
  </si>
  <si>
    <t>Income from Satellite Churches</t>
  </si>
  <si>
    <t>  TMP Ebrumede</t>
  </si>
  <si>
    <t>  TMP Orhuwhorun</t>
  </si>
  <si>
    <t>  TMP Osubi</t>
  </si>
  <si>
    <t>  TMP Otokutu</t>
  </si>
  <si>
    <t>  TMP Ubeji</t>
  </si>
  <si>
    <t>  TMP Udu</t>
  </si>
  <si>
    <t>  TMP Ugbuwangue</t>
  </si>
  <si>
    <t>  TMP Ughoton</t>
  </si>
  <si>
    <t>  TMP Warri Central</t>
  </si>
  <si>
    <t>  TMP Warri G.R.A</t>
  </si>
  <si>
    <t>TOTAL REVENUE</t>
  </si>
  <si>
    <t>Building</t>
  </si>
  <si>
    <t>Land</t>
  </si>
  <si>
    <t>Opening Balance</t>
  </si>
  <si>
    <t>Revenues (A)</t>
  </si>
  <si>
    <t>Total Revenues</t>
  </si>
  <si>
    <t>Other Income (B)</t>
  </si>
  <si>
    <t>Total for other Income</t>
  </si>
  <si>
    <t>Expenditure (C)</t>
  </si>
  <si>
    <t>    Advert &amp; Publicity</t>
  </si>
  <si>
    <t>    Allowances and Bonus</t>
  </si>
  <si>
    <t>    Bank Charges</t>
  </si>
  <si>
    <t>    Chairs/Canopies Rent</t>
  </si>
  <si>
    <t>    Church Service Expense</t>
  </si>
  <si>
    <t>    Consumables</t>
  </si>
  <si>
    <t>    Diesel</t>
  </si>
  <si>
    <t>    Electricity</t>
  </si>
  <si>
    <t>    Entertainment</t>
  </si>
  <si>
    <t>    Forex Expense</t>
  </si>
  <si>
    <t>    Fuel</t>
  </si>
  <si>
    <t>    Generator Repairs &amp; Mtce</t>
  </si>
  <si>
    <t>    Grant</t>
  </si>
  <si>
    <t>    Honourarium</t>
  </si>
  <si>
    <t>    Hotel Accomodation</t>
  </si>
  <si>
    <t>    Master's tv</t>
  </si>
  <si>
    <t>    Life Coach</t>
  </si>
  <si>
    <t>    Medical Bill</t>
  </si>
  <si>
    <t>    Ordinance</t>
  </si>
  <si>
    <t>    Printing &amp; Stationery</t>
  </si>
  <si>
    <t>    Professional Fees</t>
  </si>
  <si>
    <t>    Rent - Hall</t>
  </si>
  <si>
    <t>    Rent - Official Residence</t>
  </si>
  <si>
    <t>    Repair &amp; Maint. - Equipment</t>
  </si>
  <si>
    <t>    Repair &amp; Maintenance - Church</t>
  </si>
  <si>
    <t>    Repair &amp; Maintenance - Office</t>
  </si>
  <si>
    <t>    Repair &amp; Maintenance -Resident</t>
  </si>
  <si>
    <t>    Resource Center</t>
  </si>
  <si>
    <t>    Salaries</t>
  </si>
  <si>
    <t>    Security</t>
  </si>
  <si>
    <t>    Studio</t>
  </si>
  <si>
    <t>    Telephone &amp; Internet</t>
  </si>
  <si>
    <t>    Transport &amp; Travelling</t>
  </si>
  <si>
    <t>    Vehicle Maintenance</t>
  </si>
  <si>
    <t>    Video Coverage</t>
  </si>
  <si>
    <t>    Welfare</t>
  </si>
  <si>
    <t>Total Expenses</t>
  </si>
  <si>
    <t>Net Income</t>
  </si>
  <si>
    <t/>
  </si>
  <si>
    <t>Cash Flows from Operating Activities</t>
  </si>
  <si>
    <t>Net Cash provided by Operations</t>
  </si>
  <si>
    <t>Cash Flow from Investing Activities</t>
  </si>
  <si>
    <t>Equipment</t>
  </si>
  <si>
    <t>Furniture and Fittings</t>
  </si>
  <si>
    <t>Net cash used in investing</t>
  </si>
  <si>
    <t>Cash Flows from Financing Activities</t>
  </si>
  <si>
    <t>Net cash used in financing</t>
  </si>
  <si>
    <t>Net increase  in cash</t>
  </si>
  <si>
    <t>Summary</t>
  </si>
  <si>
    <t>Cash Balance at End of Period</t>
  </si>
  <si>
    <t>Cash Balance at Beg of Period</t>
  </si>
  <si>
    <t>Net Increase &lt;Decrease&gt; in Cash</t>
  </si>
  <si>
    <t>FEBRUARY</t>
  </si>
  <si>
    <t>MARCH</t>
  </si>
  <si>
    <t>APRIL</t>
  </si>
  <si>
    <t>MAY</t>
  </si>
  <si>
    <t>JUNE</t>
  </si>
  <si>
    <t>TOTAL</t>
  </si>
  <si>
    <t xml:space="preserve">    TMA FEE</t>
  </si>
  <si>
    <t>Cash Flow (C)</t>
  </si>
  <si>
    <t>Net cash used in Investing</t>
  </si>
  <si>
    <t>Net Surplus or Deficit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</si>
  <si>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</si>
  <si>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</si>
  <si>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</si>
  <si>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</si>
  <si>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</si>
  <si>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</si>
  <si>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</si>
  <si>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</si>
  <si>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</si>
  <si>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</si>
  <si>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</si>
  <si>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</si>
  <si>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  Kingdom Investment</t>
  </si>
  <si>
    <t>    Instrument/Equipment Rent</t>
  </si>
  <si>
    <t>Current Liabilities</t>
  </si>
  <si>
    <t>Kingdom Investment</t>
  </si>
  <si>
    <t>Building (Dremland Phase 1)</t>
  </si>
  <si>
    <t>Other Capital Expenditure</t>
  </si>
  <si>
    <r>
      <t xml:space="preserve">Recurrent Expenditure </t>
    </r>
    <r>
      <rPr>
        <sz val="14"/>
        <color rgb="FF000000"/>
        <rFont val="Berlin Sans FB Demi"/>
        <family val="2"/>
      </rPr>
      <t>(Less  Kingdom Investment)</t>
    </r>
  </si>
  <si>
    <t>The Master's Place International Church, Headquaters -Warri</t>
  </si>
  <si>
    <t>Income &amp; Expenditure Statement</t>
  </si>
  <si>
    <t>DESCRIPTION</t>
  </si>
  <si>
    <t>Balance B/F</t>
  </si>
  <si>
    <t>YEAR TO DATE</t>
  </si>
  <si>
    <t>Income (A)</t>
  </si>
  <si>
    <t>    SALES OF MATERIAL OFFERING</t>
  </si>
  <si>
    <t> Motor Vehicles</t>
  </si>
  <si>
    <t>Column1</t>
  </si>
  <si>
    <t>Column2</t>
  </si>
  <si>
    <t>Description</t>
  </si>
  <si>
    <t>JULY</t>
  </si>
  <si>
    <t>AUGUST</t>
  </si>
  <si>
    <t>SEPTEMBER</t>
  </si>
  <si>
    <t>OCTOBER</t>
  </si>
  <si>
    <t>NOVEMBER</t>
  </si>
  <si>
    <t>DECEMBER</t>
  </si>
  <si>
    <t>Grant</t>
  </si>
  <si>
    <t>Premium Bank</t>
  </si>
  <si>
    <t>Zenith Resourse</t>
  </si>
  <si>
    <t>TWELVE MONTHS INCOME ANALYSIS</t>
  </si>
  <si>
    <t>Item</t>
  </si>
  <si>
    <t>Amount</t>
  </si>
  <si>
    <t>Diesel</t>
  </si>
  <si>
    <t>LED Hire</t>
  </si>
  <si>
    <t>Maque Tent ( Car Wash)</t>
  </si>
  <si>
    <t>Bagoda Tent (Church Compound)</t>
  </si>
  <si>
    <t>Chairs</t>
  </si>
  <si>
    <t>OUR PERFORMANCE (2025)</t>
  </si>
  <si>
    <t>For the Year Ended 31ST December 2025</t>
  </si>
  <si>
    <t>2025</t>
  </si>
  <si>
    <t>29/02/2025</t>
  </si>
  <si>
    <t>Diesel and Rental Expenses for the Year 2025</t>
  </si>
  <si>
    <t>JANUARY</t>
  </si>
  <si>
    <t>Currrent liabilities</t>
  </si>
  <si>
    <t>current liabilities</t>
  </si>
  <si>
    <t xml:space="preserve">    TMP PORTHARCOURT</t>
  </si>
  <si>
    <t>s</t>
  </si>
  <si>
    <t>TMP PORTHARCOURT</t>
  </si>
  <si>
    <t>Zenith Bank (Main)</t>
  </si>
  <si>
    <t>Zenith Bank Partnership</t>
  </si>
  <si>
    <t>GTB</t>
  </si>
  <si>
    <t>TMP PORTHARCOURR</t>
  </si>
  <si>
    <t>    TMP UGHELLI</t>
  </si>
  <si>
    <t>Access Bank</t>
  </si>
  <si>
    <t>GTB Domiciliary</t>
  </si>
  <si>
    <t>Zenith Bank Remittance</t>
  </si>
  <si>
    <t>TMP LAGOS</t>
  </si>
  <si>
    <t>TMP PORT HARCOURT</t>
  </si>
  <si>
    <t>-</t>
  </si>
  <si>
    <t>UBA</t>
  </si>
  <si>
    <t>ZENITH REMMITANCE</t>
  </si>
  <si>
    <t>GTB DOMICILIARY</t>
  </si>
  <si>
    <t>    TMP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</si>
</sst>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&quot;₦&quot;#,##0;[Red]\-&quot;₦&quot;#,##0"/>
    <numFmt numFmtId="165" formatCode="_-&quot;₦&quot;* #,##0.00_-;\-&quot;₦&quot;* #,##0.00_-;_-&quot;₦&quot;* &quot;-&quot;??_-;_-@_-"/>
    <numFmt numFmtId="166" formatCode="_(* #,##0.00_);_(* \(#,##0.00\);_(* &quot;-&quot;??_);_(@_)"/>
    <numFmt numFmtId="167" formatCode="\$* #,##0.00;\(\$* #,##0.00\)"/>
    <numFmt numFmtId="168" formatCode="#,##0.00;\(#,##0.00\)"/>
    <numFmt numFmtId="169" formatCode="_-[$₦-467]\ * #,##0.00_-;\-[$₦-467]\ * #,##0.00_-;_-[$₦-467]\ * &quot;-&quot;??_-;_-@_-"/>
    <numFmt numFmtId="170" formatCode="_-[$₦-46A]* #,##0.00_-;\-[$₦-46A]* #,##0.00_-;_-[$₦-46A]* &quot;-&quot;??_-;_-@_-"/>
    <numFmt numFmtId="171" formatCode="#,##0.000000000000"/>
    <numFmt numFmtId="172" formatCode="\₦* #,##0.00;\(\₦* #,##0.00\)"/>
    <numFmt numFmtId="173" formatCode="[$-409]d\-mmm\-yyyy;@"/>
    <numFmt numFmtId="174" formatCode="#,##0.00000000"/>
  </numFmts>
  <fonts count="59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b/>
      <sz val="16"/>
      <color theme="7" tint="-0.249977111117893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rgb="FF000000"/>
      <name val="Arial"/>
      <family val="2"/>
    </font>
    <font>
      <sz val="24"/>
      <color rgb="FF000000"/>
      <name val="Berlin Sans FB Demi"/>
      <family val="2"/>
    </font>
    <font>
      <sz val="24"/>
      <color rgb="FF000000"/>
      <name val="Arial"/>
      <family val="2"/>
    </font>
    <font>
      <b/>
      <sz val="28"/>
      <color theme="7" tint="-0.249977111117893"/>
      <name val="20th Century Font"/>
    </font>
    <font>
      <sz val="24"/>
      <color rgb="FF00B050"/>
      <name val="Arial Black"/>
      <family val="2"/>
    </font>
    <font>
      <sz val="8"/>
      <name val="Calibri"/>
      <family val="2"/>
      <scheme val="minor"/>
    </font>
    <font>
      <sz val="14"/>
      <color rgb="FF000000"/>
      <name val="Berlin Sans FB Demi"/>
      <family val="2"/>
    </font>
    <font>
      <i/>
      <sz val="12"/>
      <color theme="1"/>
      <name val="Calibri"/>
      <family val="2"/>
      <scheme val="minor"/>
    </font>
    <font>
      <sz val="24"/>
      <color theme="7"/>
      <name val="Arial Black"/>
      <family val="2"/>
    </font>
    <font>
      <sz val="24"/>
      <color theme="5" tint="-0.249977111117893"/>
      <name val="Arial Black"/>
      <family val="2"/>
    </font>
    <font>
      <sz val="24"/>
      <color theme="3" tint="0.39997558519241921"/>
      <name val="Arial Black"/>
      <family val="2"/>
    </font>
    <font>
      <sz val="24"/>
      <name val="Berlin Sans FB Demi"/>
      <family val="2"/>
    </font>
    <font>
      <sz val="24"/>
      <color rgb="FFFFC000"/>
      <name val="Arial Black"/>
      <family val="2"/>
    </font>
    <font>
      <sz val="24"/>
      <color rgb="FFA6AE02"/>
      <name val="Arial Black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36"/>
      <color theme="1"/>
      <name val="20th Century Font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5.5"/>
      <color theme="1"/>
      <name val="Calibri"/>
      <family val="2"/>
      <scheme val="minor"/>
    </font>
    <font>
      <b/>
      <sz val="15.5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7">
    <border>
      <left/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166" fontId="10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37" applyNumberFormat="0" applyFill="0" applyAlignment="0" applyProtection="0"/>
    <xf numFmtId="0" fontId="39" fillId="0" borderId="38" applyNumberFormat="0" applyFill="0" applyAlignment="0" applyProtection="0"/>
    <xf numFmtId="0" fontId="40" fillId="0" borderId="39" applyNumberFormat="0" applyFill="0" applyAlignment="0" applyProtection="0"/>
    <xf numFmtId="0" fontId="40" fillId="0" borderId="0" applyNumberFormat="0" applyFill="0" applyBorder="0" applyAlignment="0" applyProtection="0"/>
    <xf numFmtId="0" fontId="41" fillId="8" borderId="0" applyNumberFormat="0" applyBorder="0" applyAlignment="0" applyProtection="0"/>
    <xf numFmtId="0" fontId="42" fillId="9" borderId="0" applyNumberFormat="0" applyBorder="0" applyAlignment="0" applyProtection="0"/>
    <xf numFmtId="0" fontId="43" fillId="10" borderId="0" applyNumberFormat="0" applyBorder="0" applyAlignment="0" applyProtection="0"/>
    <xf numFmtId="0" fontId="44" fillId="11" borderId="40" applyNumberFormat="0" applyAlignment="0" applyProtection="0"/>
    <xf numFmtId="0" fontId="45" fillId="12" borderId="41" applyNumberFormat="0" applyAlignment="0" applyProtection="0"/>
    <xf numFmtId="0" fontId="46" fillId="12" borderId="40" applyNumberFormat="0" applyAlignment="0" applyProtection="0"/>
    <xf numFmtId="0" fontId="47" fillId="0" borderId="42" applyNumberFormat="0" applyFill="0" applyAlignment="0" applyProtection="0"/>
    <xf numFmtId="0" fontId="48" fillId="13" borderId="43" applyNumberFormat="0" applyAlignment="0" applyProtection="0"/>
    <xf numFmtId="0" fontId="49" fillId="0" borderId="0" applyNumberFormat="0" applyFill="0" applyBorder="0" applyAlignment="0" applyProtection="0"/>
    <xf numFmtId="0" fontId="10" fillId="14" borderId="44" applyNumberFormat="0" applyFont="0" applyAlignment="0" applyProtection="0"/>
    <xf numFmtId="0" fontId="50" fillId="0" borderId="0" applyNumberFormat="0" applyFill="0" applyBorder="0" applyAlignment="0" applyProtection="0"/>
    <xf numFmtId="0" fontId="51" fillId="0" borderId="45" applyNumberFormat="0" applyFill="0" applyAlignment="0" applyProtection="0"/>
    <xf numFmtId="0" fontId="52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52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52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52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52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52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</cellStyleXfs>
  <cellXfs count="238">
    <xf numFmtId="0" fontId="0" fillId="0" borderId="0" xfId="0"/>
    <xf numFmtId="0" fontId="1" fillId="0" borderId="0" xfId="0" applyFont="1"/>
    <xf numFmtId="168" fontId="1" fillId="0" borderId="0" xfId="0" applyNumberFormat="1" applyFont="1" applyAlignment="1">
      <alignment horizontal="right"/>
    </xf>
    <xf numFmtId="0" fontId="4" fillId="0" borderId="0" xfId="0" applyFont="1"/>
    <xf numFmtId="49" fontId="4" fillId="0" borderId="5" xfId="0" applyNumberFormat="1" applyFont="1" applyBorder="1" applyAlignment="1">
      <alignment horizontal="left"/>
    </xf>
    <xf numFmtId="168" fontId="4" fillId="0" borderId="2" xfId="0" applyNumberFormat="1" applyFont="1" applyBorder="1" applyAlignment="1">
      <alignment horizontal="right"/>
    </xf>
    <xf numFmtId="49" fontId="5" fillId="0" borderId="5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168" fontId="4" fillId="0" borderId="12" xfId="0" applyNumberFormat="1" applyFont="1" applyBorder="1" applyAlignment="1">
      <alignment horizontal="right"/>
    </xf>
    <xf numFmtId="168" fontId="4" fillId="0" borderId="3" xfId="0" applyNumberFormat="1" applyFont="1" applyBorder="1" applyAlignment="1">
      <alignment horizontal="right"/>
    </xf>
    <xf numFmtId="43" fontId="8" fillId="0" borderId="3" xfId="0" applyNumberFormat="1" applyFont="1" applyBorder="1" applyAlignment="1">
      <alignment horizontal="right"/>
    </xf>
    <xf numFmtId="166" fontId="6" fillId="3" borderId="2" xfId="0" applyNumberFormat="1" applyFont="1" applyFill="1" applyBorder="1" applyAlignment="1">
      <alignment horizontal="right"/>
    </xf>
    <xf numFmtId="168" fontId="4" fillId="2" borderId="14" xfId="0" applyNumberFormat="1" applyFont="1" applyFill="1" applyBorder="1" applyAlignment="1">
      <alignment horizontal="right"/>
    </xf>
    <xf numFmtId="49" fontId="4" fillId="0" borderId="3" xfId="0" applyNumberFormat="1" applyFont="1" applyBorder="1" applyAlignment="1">
      <alignment horizontal="left"/>
    </xf>
    <xf numFmtId="49" fontId="6" fillId="5" borderId="5" xfId="0" applyNumberFormat="1" applyFont="1" applyFill="1" applyBorder="1" applyAlignment="1">
      <alignment horizontal="left"/>
    </xf>
    <xf numFmtId="0" fontId="4" fillId="0" borderId="3" xfId="0" applyFont="1" applyBorder="1"/>
    <xf numFmtId="49" fontId="7" fillId="3" borderId="4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left"/>
    </xf>
    <xf numFmtId="49" fontId="7" fillId="2" borderId="8" xfId="0" applyNumberFormat="1" applyFont="1" applyFill="1" applyBorder="1" applyAlignment="1">
      <alignment horizontal="center"/>
    </xf>
    <xf numFmtId="49" fontId="7" fillId="2" borderId="9" xfId="0" applyNumberFormat="1" applyFont="1" applyFill="1" applyBorder="1" applyAlignment="1">
      <alignment horizontal="center"/>
    </xf>
    <xf numFmtId="0" fontId="7" fillId="0" borderId="0" xfId="0" applyFont="1"/>
    <xf numFmtId="49" fontId="7" fillId="0" borderId="5" xfId="0" applyNumberFormat="1" applyFont="1" applyBorder="1" applyAlignment="1">
      <alignment horizontal="left"/>
    </xf>
    <xf numFmtId="0" fontId="7" fillId="0" borderId="3" xfId="0" applyFont="1" applyBorder="1"/>
    <xf numFmtId="0" fontId="7" fillId="0" borderId="1" xfId="0" applyFont="1" applyBorder="1"/>
    <xf numFmtId="168" fontId="7" fillId="0" borderId="3" xfId="0" applyNumberFormat="1" applyFont="1" applyBorder="1" applyAlignment="1">
      <alignment horizontal="right"/>
    </xf>
    <xf numFmtId="49" fontId="6" fillId="3" borderId="4" xfId="0" applyNumberFormat="1" applyFont="1" applyFill="1" applyBorder="1" applyAlignment="1">
      <alignment horizontal="left"/>
    </xf>
    <xf numFmtId="168" fontId="7" fillId="3" borderId="2" xfId="0" applyNumberFormat="1" applyFont="1" applyFill="1" applyBorder="1" applyAlignment="1">
      <alignment horizontal="right"/>
    </xf>
    <xf numFmtId="49" fontId="6" fillId="6" borderId="5" xfId="0" applyNumberFormat="1" applyFont="1" applyFill="1" applyBorder="1" applyAlignment="1">
      <alignment horizontal="left"/>
    </xf>
    <xf numFmtId="168" fontId="7" fillId="6" borderId="3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left"/>
    </xf>
    <xf numFmtId="169" fontId="7" fillId="3" borderId="3" xfId="0" applyNumberFormat="1" applyFont="1" applyFill="1" applyBorder="1" applyAlignment="1">
      <alignment horizontal="right"/>
    </xf>
    <xf numFmtId="168" fontId="7" fillId="3" borderId="3" xfId="0" applyNumberFormat="1" applyFont="1" applyFill="1" applyBorder="1" applyAlignment="1">
      <alignment horizontal="right"/>
    </xf>
    <xf numFmtId="49" fontId="6" fillId="0" borderId="5" xfId="0" applyNumberFormat="1" applyFont="1" applyBorder="1" applyAlignment="1">
      <alignment horizontal="left"/>
    </xf>
    <xf numFmtId="167" fontId="7" fillId="0" borderId="3" xfId="0" applyNumberFormat="1" applyFont="1" applyBorder="1" applyAlignment="1">
      <alignment horizontal="right"/>
    </xf>
    <xf numFmtId="169" fontId="7" fillId="0" borderId="3" xfId="0" applyNumberFormat="1" applyFont="1" applyBorder="1" applyAlignment="1">
      <alignment horizontal="right"/>
    </xf>
    <xf numFmtId="168" fontId="7" fillId="0" borderId="10" xfId="0" applyNumberFormat="1" applyFont="1" applyBorder="1" applyAlignment="1">
      <alignment horizontal="right"/>
    </xf>
    <xf numFmtId="0" fontId="7" fillId="0" borderId="5" xfId="0" applyFont="1" applyBorder="1"/>
    <xf numFmtId="169" fontId="7" fillId="0" borderId="10" xfId="0" applyNumberFormat="1" applyFont="1" applyBorder="1" applyAlignment="1">
      <alignment horizontal="right"/>
    </xf>
    <xf numFmtId="49" fontId="6" fillId="4" borderId="5" xfId="0" applyNumberFormat="1" applyFont="1" applyFill="1" applyBorder="1" applyAlignment="1">
      <alignment horizontal="left"/>
    </xf>
    <xf numFmtId="169" fontId="7" fillId="4" borderId="10" xfId="0" applyNumberFormat="1" applyFont="1" applyFill="1" applyBorder="1" applyAlignment="1">
      <alignment horizontal="right"/>
    </xf>
    <xf numFmtId="168" fontId="7" fillId="4" borderId="3" xfId="0" applyNumberFormat="1" applyFont="1" applyFill="1" applyBorder="1" applyAlignment="1">
      <alignment horizontal="right"/>
    </xf>
    <xf numFmtId="170" fontId="8" fillId="0" borderId="3" xfId="0" applyNumberFormat="1" applyFont="1" applyBorder="1" applyAlignment="1">
      <alignment horizontal="right"/>
    </xf>
    <xf numFmtId="168" fontId="8" fillId="0" borderId="3" xfId="0" applyNumberFormat="1" applyFont="1" applyBorder="1" applyAlignment="1">
      <alignment horizontal="right"/>
    </xf>
    <xf numFmtId="168" fontId="8" fillId="0" borderId="10" xfId="0" applyNumberFormat="1" applyFont="1" applyBorder="1" applyAlignment="1">
      <alignment horizontal="right"/>
    </xf>
    <xf numFmtId="168" fontId="4" fillId="0" borderId="15" xfId="0" applyNumberFormat="1" applyFont="1" applyBorder="1" applyAlignment="1">
      <alignment horizontal="right"/>
    </xf>
    <xf numFmtId="49" fontId="7" fillId="0" borderId="3" xfId="0" applyNumberFormat="1" applyFont="1" applyBorder="1" applyAlignment="1">
      <alignment horizontal="left"/>
    </xf>
    <xf numFmtId="4" fontId="7" fillId="0" borderId="0" xfId="0" applyNumberFormat="1" applyFont="1"/>
    <xf numFmtId="49" fontId="7" fillId="0" borderId="5" xfId="0" applyNumberFormat="1" applyFont="1" applyBorder="1"/>
    <xf numFmtId="0" fontId="11" fillId="0" borderId="0" xfId="0" applyFont="1" applyAlignment="1">
      <alignment horizontal="left"/>
    </xf>
    <xf numFmtId="171" fontId="7" fillId="0" borderId="0" xfId="0" applyNumberFormat="1" applyFont="1"/>
    <xf numFmtId="0" fontId="3" fillId="0" borderId="0" xfId="0" applyFont="1"/>
    <xf numFmtId="0" fontId="3" fillId="0" borderId="1" xfId="0" applyFont="1" applyBorder="1"/>
    <xf numFmtId="49" fontId="3" fillId="0" borderId="0" xfId="0" applyNumberFormat="1" applyFont="1" applyAlignment="1">
      <alignment horizontal="left"/>
    </xf>
    <xf numFmtId="170" fontId="9" fillId="0" borderId="0" xfId="0" applyNumberFormat="1" applyFont="1" applyAlignment="1">
      <alignment horizontal="right"/>
    </xf>
    <xf numFmtId="49" fontId="2" fillId="5" borderId="0" xfId="0" applyNumberFormat="1" applyFont="1" applyFill="1" applyAlignment="1">
      <alignment horizontal="left"/>
    </xf>
    <xf numFmtId="168" fontId="3" fillId="0" borderId="0" xfId="0" applyNumberFormat="1" applyFont="1" applyAlignment="1">
      <alignment horizontal="right"/>
    </xf>
    <xf numFmtId="49" fontId="2" fillId="3" borderId="0" xfId="0" applyNumberFormat="1" applyFont="1" applyFill="1" applyAlignment="1">
      <alignment horizontal="left"/>
    </xf>
    <xf numFmtId="168" fontId="2" fillId="3" borderId="0" xfId="0" applyNumberFormat="1" applyFont="1" applyFill="1" applyAlignment="1">
      <alignment horizontal="right"/>
    </xf>
    <xf numFmtId="49" fontId="1" fillId="0" borderId="0" xfId="0" applyNumberFormat="1" applyFont="1" applyAlignment="1">
      <alignment horizontal="left"/>
    </xf>
    <xf numFmtId="49" fontId="3" fillId="3" borderId="0" xfId="0" applyNumberFormat="1" applyFont="1" applyFill="1" applyAlignment="1">
      <alignment horizontal="left"/>
    </xf>
    <xf numFmtId="166" fontId="2" fillId="3" borderId="0" xfId="0" applyNumberFormat="1" applyFont="1" applyFill="1" applyAlignment="1">
      <alignment horizontal="right"/>
    </xf>
    <xf numFmtId="49" fontId="11" fillId="2" borderId="0" xfId="0" applyNumberFormat="1" applyFont="1" applyFill="1" applyAlignment="1">
      <alignment horizontal="left"/>
    </xf>
    <xf numFmtId="49" fontId="2" fillId="6" borderId="0" xfId="0" applyNumberFormat="1" applyFont="1" applyFill="1" applyAlignment="1">
      <alignment horizontal="left"/>
    </xf>
    <xf numFmtId="168" fontId="3" fillId="6" borderId="0" xfId="0" applyNumberFormat="1" applyFont="1" applyFill="1" applyAlignment="1">
      <alignment horizontal="right"/>
    </xf>
    <xf numFmtId="49" fontId="1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/>
    <xf numFmtId="0" fontId="17" fillId="0" borderId="0" xfId="0" applyFont="1"/>
    <xf numFmtId="168" fontId="17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right"/>
    </xf>
    <xf numFmtId="49" fontId="15" fillId="5" borderId="0" xfId="0" applyNumberFormat="1" applyFont="1" applyFill="1" applyAlignment="1">
      <alignment horizontal="left"/>
    </xf>
    <xf numFmtId="49" fontId="13" fillId="0" borderId="0" xfId="0" applyNumberFormat="1" applyFont="1" applyAlignment="1">
      <alignment horizontal="left"/>
    </xf>
    <xf numFmtId="172" fontId="13" fillId="0" borderId="0" xfId="0" applyNumberFormat="1" applyFont="1" applyAlignment="1">
      <alignment horizontal="right"/>
    </xf>
    <xf numFmtId="168" fontId="13" fillId="0" borderId="0" xfId="0" applyNumberFormat="1" applyFont="1" applyAlignment="1">
      <alignment horizontal="right"/>
    </xf>
    <xf numFmtId="49" fontId="17" fillId="0" borderId="0" xfId="0" applyNumberFormat="1" applyFont="1" applyAlignment="1">
      <alignment horizontal="left"/>
    </xf>
    <xf numFmtId="168" fontId="17" fillId="0" borderId="18" xfId="0" applyNumberFormat="1" applyFont="1" applyBorder="1" applyAlignment="1">
      <alignment horizontal="right"/>
    </xf>
    <xf numFmtId="49" fontId="14" fillId="0" borderId="17" xfId="0" applyNumberFormat="1" applyFont="1" applyBorder="1" applyAlignment="1">
      <alignment horizontal="left"/>
    </xf>
    <xf numFmtId="168" fontId="13" fillId="0" borderId="17" xfId="0" applyNumberFormat="1" applyFont="1" applyBorder="1" applyAlignment="1">
      <alignment horizontal="right"/>
    </xf>
    <xf numFmtId="168" fontId="16" fillId="0" borderId="0" xfId="0" applyNumberFormat="1" applyFont="1" applyAlignment="1">
      <alignment horizontal="right"/>
    </xf>
    <xf numFmtId="49" fontId="16" fillId="0" borderId="0" xfId="0" applyNumberFormat="1" applyFont="1" applyAlignment="1">
      <alignment horizontal="left"/>
    </xf>
    <xf numFmtId="0" fontId="16" fillId="0" borderId="0" xfId="0" applyFont="1"/>
    <xf numFmtId="168" fontId="14" fillId="0" borderId="0" xfId="0" applyNumberFormat="1" applyFont="1" applyAlignment="1">
      <alignment horizontal="right"/>
    </xf>
    <xf numFmtId="49" fontId="14" fillId="0" borderId="20" xfId="0" applyNumberFormat="1" applyFont="1" applyBorder="1" applyAlignment="1">
      <alignment horizontal="left"/>
    </xf>
    <xf numFmtId="172" fontId="14" fillId="0" borderId="0" xfId="0" applyNumberFormat="1" applyFont="1" applyAlignment="1">
      <alignment horizontal="right"/>
    </xf>
    <xf numFmtId="168" fontId="17" fillId="0" borderId="19" xfId="0" applyNumberFormat="1" applyFont="1" applyBorder="1" applyAlignment="1">
      <alignment horizontal="right"/>
    </xf>
    <xf numFmtId="49" fontId="17" fillId="0" borderId="6" xfId="0" applyNumberFormat="1" applyFont="1" applyBorder="1" applyAlignment="1">
      <alignment horizontal="left"/>
    </xf>
    <xf numFmtId="168" fontId="17" fillId="0" borderId="16" xfId="0" applyNumberFormat="1" applyFont="1" applyBorder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2" fillId="0" borderId="0" xfId="0" applyFont="1"/>
    <xf numFmtId="0" fontId="0" fillId="0" borderId="0" xfId="0" applyAlignment="1">
      <alignment vertical="center"/>
    </xf>
    <xf numFmtId="164" fontId="25" fillId="0" borderId="0" xfId="0" applyNumberFormat="1" applyFont="1" applyAlignment="1">
      <alignment horizontal="left" vertical="center"/>
    </xf>
    <xf numFmtId="164" fontId="25" fillId="0" borderId="0" xfId="0" applyNumberFormat="1" applyFont="1" applyAlignment="1">
      <alignment vertical="center"/>
    </xf>
    <xf numFmtId="168" fontId="7" fillId="0" borderId="1" xfId="0" applyNumberFormat="1" applyFont="1" applyBorder="1" applyAlignment="1">
      <alignment horizontal="right"/>
    </xf>
    <xf numFmtId="168" fontId="7" fillId="0" borderId="21" xfId="0" applyNumberFormat="1" applyFont="1" applyBorder="1" applyAlignment="1">
      <alignment horizontal="right"/>
    </xf>
    <xf numFmtId="168" fontId="4" fillId="0" borderId="16" xfId="0" applyNumberFormat="1" applyFont="1" applyBorder="1" applyAlignment="1">
      <alignment horizontal="right"/>
    </xf>
    <xf numFmtId="49" fontId="7" fillId="2" borderId="22" xfId="0" applyNumberFormat="1" applyFont="1" applyFill="1" applyBorder="1" applyAlignment="1">
      <alignment horizontal="center"/>
    </xf>
    <xf numFmtId="170" fontId="8" fillId="0" borderId="1" xfId="0" applyNumberFormat="1" applyFont="1" applyBorder="1" applyAlignment="1">
      <alignment horizontal="right"/>
    </xf>
    <xf numFmtId="168" fontId="6" fillId="3" borderId="23" xfId="0" applyNumberFormat="1" applyFont="1" applyFill="1" applyBorder="1" applyAlignment="1">
      <alignment horizontal="right"/>
    </xf>
    <xf numFmtId="166" fontId="6" fillId="3" borderId="23" xfId="0" applyNumberFormat="1" applyFont="1" applyFill="1" applyBorder="1" applyAlignment="1">
      <alignment horizontal="right"/>
    </xf>
    <xf numFmtId="168" fontId="4" fillId="2" borderId="24" xfId="0" applyNumberFormat="1" applyFont="1" applyFill="1" applyBorder="1" applyAlignment="1">
      <alignment horizontal="right"/>
    </xf>
    <xf numFmtId="168" fontId="4" fillId="0" borderId="23" xfId="0" applyNumberFormat="1" applyFont="1" applyBorder="1" applyAlignment="1">
      <alignment horizontal="right"/>
    </xf>
    <xf numFmtId="168" fontId="7" fillId="6" borderId="1" xfId="0" applyNumberFormat="1" applyFont="1" applyFill="1" applyBorder="1" applyAlignment="1">
      <alignment horizontal="right"/>
    </xf>
    <xf numFmtId="168" fontId="7" fillId="3" borderId="1" xfId="0" applyNumberFormat="1" applyFont="1" applyFill="1" applyBorder="1" applyAlignment="1">
      <alignment horizontal="right"/>
    </xf>
    <xf numFmtId="0" fontId="7" fillId="0" borderId="25" xfId="0" applyFont="1" applyBorder="1"/>
    <xf numFmtId="168" fontId="7" fillId="4" borderId="1" xfId="0" applyNumberFormat="1" applyFont="1" applyFill="1" applyBorder="1" applyAlignment="1">
      <alignment horizontal="right"/>
    </xf>
    <xf numFmtId="164" fontId="0" fillId="0" borderId="0" xfId="0" applyNumberFormat="1"/>
    <xf numFmtId="166" fontId="7" fillId="0" borderId="3" xfId="1" applyFont="1" applyBorder="1"/>
    <xf numFmtId="166" fontId="8" fillId="0" borderId="3" xfId="1" applyFont="1" applyBorder="1" applyAlignment="1">
      <alignment horizontal="right"/>
    </xf>
    <xf numFmtId="166" fontId="7" fillId="3" borderId="2" xfId="0" applyNumberFormat="1" applyFont="1" applyFill="1" applyBorder="1" applyAlignment="1">
      <alignment horizontal="right"/>
    </xf>
    <xf numFmtId="168" fontId="30" fillId="0" borderId="3" xfId="0" applyNumberFormat="1" applyFont="1" applyBorder="1" applyAlignment="1">
      <alignment horizontal="right"/>
    </xf>
    <xf numFmtId="168" fontId="7" fillId="6" borderId="26" xfId="0" applyNumberFormat="1" applyFont="1" applyFill="1" applyBorder="1" applyAlignment="1">
      <alignment horizontal="right"/>
    </xf>
    <xf numFmtId="169" fontId="6" fillId="3" borderId="10" xfId="0" applyNumberFormat="1" applyFont="1" applyFill="1" applyBorder="1" applyAlignment="1">
      <alignment horizontal="right"/>
    </xf>
    <xf numFmtId="0" fontId="30" fillId="0" borderId="27" xfId="0" applyFont="1" applyBorder="1" applyAlignment="1">
      <alignment wrapText="1"/>
    </xf>
    <xf numFmtId="168" fontId="8" fillId="0" borderId="1" xfId="0" applyNumberFormat="1" applyFont="1" applyBorder="1" applyAlignment="1">
      <alignment horizontal="right"/>
    </xf>
    <xf numFmtId="168" fontId="7" fillId="3" borderId="23" xfId="0" applyNumberFormat="1" applyFont="1" applyFill="1" applyBorder="1" applyAlignment="1">
      <alignment horizontal="right"/>
    </xf>
    <xf numFmtId="168" fontId="4" fillId="0" borderId="1" xfId="0" applyNumberFormat="1" applyFont="1" applyBorder="1" applyAlignment="1">
      <alignment horizontal="right"/>
    </xf>
    <xf numFmtId="0" fontId="30" fillId="0" borderId="5" xfId="0" applyFont="1" applyBorder="1" applyAlignment="1">
      <alignment horizontal="left"/>
    </xf>
    <xf numFmtId="49" fontId="30" fillId="0" borderId="5" xfId="0" applyNumberFormat="1" applyFont="1" applyBorder="1" applyAlignment="1">
      <alignment horizontal="left"/>
    </xf>
    <xf numFmtId="168" fontId="30" fillId="0" borderId="1" xfId="0" applyNumberFormat="1" applyFont="1" applyBorder="1" applyAlignment="1">
      <alignment horizontal="right"/>
    </xf>
    <xf numFmtId="168" fontId="7" fillId="6" borderId="28" xfId="0" applyNumberFormat="1" applyFont="1" applyFill="1" applyBorder="1" applyAlignment="1">
      <alignment horizontal="right"/>
    </xf>
    <xf numFmtId="49" fontId="6" fillId="3" borderId="7" xfId="0" applyNumberFormat="1" applyFont="1" applyFill="1" applyBorder="1" applyAlignment="1">
      <alignment horizontal="left"/>
    </xf>
    <xf numFmtId="169" fontId="6" fillId="3" borderId="21" xfId="0" applyNumberFormat="1" applyFont="1" applyFill="1" applyBorder="1" applyAlignment="1">
      <alignment horizontal="right"/>
    </xf>
    <xf numFmtId="0" fontId="7" fillId="0" borderId="27" xfId="0" applyFont="1" applyBorder="1"/>
    <xf numFmtId="0" fontId="7" fillId="0" borderId="13" xfId="0" applyFont="1" applyBorder="1"/>
    <xf numFmtId="0" fontId="7" fillId="0" borderId="7" xfId="0" applyFont="1" applyBorder="1"/>
    <xf numFmtId="168" fontId="8" fillId="0" borderId="21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left"/>
    </xf>
    <xf numFmtId="168" fontId="4" fillId="0" borderId="0" xfId="0" applyNumberFormat="1" applyFont="1" applyAlignment="1">
      <alignment horizontal="right"/>
    </xf>
    <xf numFmtId="168" fontId="30" fillId="0" borderId="3" xfId="0" applyNumberFormat="1" applyFont="1" applyBorder="1"/>
    <xf numFmtId="0" fontId="30" fillId="0" borderId="27" xfId="0" applyFont="1" applyBorder="1" applyAlignment="1">
      <alignment horizontal="left" wrapText="1"/>
    </xf>
    <xf numFmtId="0" fontId="19" fillId="0" borderId="0" xfId="0" applyFont="1" applyAlignment="1">
      <alignment horizontal="left"/>
    </xf>
    <xf numFmtId="49" fontId="7" fillId="2" borderId="29" xfId="0" applyNumberFormat="1" applyFont="1" applyFill="1" applyBorder="1" applyAlignment="1">
      <alignment horizontal="center"/>
    </xf>
    <xf numFmtId="49" fontId="7" fillId="2" borderId="30" xfId="0" applyNumberFormat="1" applyFont="1" applyFill="1" applyBorder="1" applyAlignment="1">
      <alignment horizontal="center"/>
    </xf>
    <xf numFmtId="0" fontId="12" fillId="0" borderId="0" xfId="0" applyFont="1"/>
    <xf numFmtId="49" fontId="7" fillId="2" borderId="29" xfId="0" applyNumberFormat="1" applyFont="1" applyFill="1" applyBorder="1"/>
    <xf numFmtId="0" fontId="18" fillId="0" borderId="0" xfId="0" applyFont="1"/>
    <xf numFmtId="49" fontId="9" fillId="0" borderId="3" xfId="0" applyNumberFormat="1" applyFont="1" applyBorder="1" applyAlignment="1">
      <alignment horizontal="left"/>
    </xf>
    <xf numFmtId="170" fontId="9" fillId="0" borderId="3" xfId="0" applyNumberFormat="1" applyFont="1" applyBorder="1" applyAlignment="1">
      <alignment horizontal="right"/>
    </xf>
    <xf numFmtId="49" fontId="2" fillId="5" borderId="3" xfId="0" applyNumberFormat="1" applyFont="1" applyFill="1" applyBorder="1" applyAlignment="1">
      <alignment horizontal="left"/>
    </xf>
    <xf numFmtId="0" fontId="3" fillId="0" borderId="3" xfId="0" applyFont="1" applyBorder="1"/>
    <xf numFmtId="49" fontId="3" fillId="0" borderId="3" xfId="0" applyNumberFormat="1" applyFont="1" applyBorder="1" applyAlignment="1">
      <alignment horizontal="left"/>
    </xf>
    <xf numFmtId="168" fontId="3" fillId="0" borderId="3" xfId="0" applyNumberFormat="1" applyFont="1" applyBorder="1" applyAlignment="1">
      <alignment horizontal="right"/>
    </xf>
    <xf numFmtId="49" fontId="2" fillId="3" borderId="3" xfId="0" applyNumberFormat="1" applyFont="1" applyFill="1" applyBorder="1" applyAlignment="1">
      <alignment horizontal="left"/>
    </xf>
    <xf numFmtId="168" fontId="2" fillId="3" borderId="3" xfId="0" applyNumberFormat="1" applyFont="1" applyFill="1" applyBorder="1" applyAlignment="1">
      <alignment horizontal="right"/>
    </xf>
    <xf numFmtId="49" fontId="1" fillId="0" borderId="3" xfId="0" applyNumberFormat="1" applyFont="1" applyBorder="1" applyAlignment="1">
      <alignment horizontal="left"/>
    </xf>
    <xf numFmtId="166" fontId="2" fillId="3" borderId="3" xfId="0" applyNumberFormat="1" applyFont="1" applyFill="1" applyBorder="1" applyAlignment="1">
      <alignment horizontal="right"/>
    </xf>
    <xf numFmtId="49" fontId="11" fillId="2" borderId="33" xfId="0" applyNumberFormat="1" applyFont="1" applyFill="1" applyBorder="1" applyAlignment="1">
      <alignment horizontal="left"/>
    </xf>
    <xf numFmtId="165" fontId="11" fillId="2" borderId="33" xfId="0" applyNumberFormat="1" applyFont="1" applyFill="1" applyBorder="1" applyAlignment="1">
      <alignment horizontal="right"/>
    </xf>
    <xf numFmtId="0" fontId="2" fillId="6" borderId="14" xfId="0" applyFont="1" applyFill="1" applyBorder="1"/>
    <xf numFmtId="0" fontId="2" fillId="6" borderId="14" xfId="0" applyFont="1" applyFill="1" applyBorder="1" applyAlignment="1">
      <alignment horizontal="center"/>
    </xf>
    <xf numFmtId="0" fontId="7" fillId="0" borderId="34" xfId="0" applyFont="1" applyBorder="1"/>
    <xf numFmtId="43" fontId="8" fillId="0" borderId="34" xfId="0" applyNumberFormat="1" applyFont="1" applyBorder="1" applyAlignment="1">
      <alignment horizontal="right"/>
    </xf>
    <xf numFmtId="168" fontId="4" fillId="0" borderId="34" xfId="0" applyNumberFormat="1" applyFont="1" applyBorder="1" applyAlignment="1">
      <alignment horizontal="right"/>
    </xf>
    <xf numFmtId="0" fontId="4" fillId="0" borderId="34" xfId="0" applyFont="1" applyBorder="1"/>
    <xf numFmtId="168" fontId="4" fillId="0" borderId="35" xfId="0" applyNumberFormat="1" applyFont="1" applyBorder="1" applyAlignment="1">
      <alignment horizontal="right"/>
    </xf>
    <xf numFmtId="168" fontId="7" fillId="0" borderId="34" xfId="0" applyNumberFormat="1" applyFont="1" applyBorder="1" applyAlignment="1">
      <alignment horizontal="right"/>
    </xf>
    <xf numFmtId="168" fontId="7" fillId="3" borderId="26" xfId="0" applyNumberFormat="1" applyFont="1" applyFill="1" applyBorder="1"/>
    <xf numFmtId="166" fontId="4" fillId="0" borderId="0" xfId="0" applyNumberFormat="1" applyFont="1"/>
    <xf numFmtId="43" fontId="7" fillId="3" borderId="36" xfId="0" applyNumberFormat="1" applyFont="1" applyFill="1" applyBorder="1"/>
    <xf numFmtId="170" fontId="8" fillId="3" borderId="2" xfId="0" applyNumberFormat="1" applyFont="1" applyFill="1" applyBorder="1" applyAlignment="1">
      <alignment horizontal="right"/>
    </xf>
    <xf numFmtId="170" fontId="8" fillId="2" borderId="14" xfId="0" applyNumberFormat="1" applyFont="1" applyFill="1" applyBorder="1" applyAlignment="1">
      <alignment horizontal="right"/>
    </xf>
    <xf numFmtId="168" fontId="7" fillId="0" borderId="2" xfId="0" applyNumberFormat="1" applyFont="1" applyBorder="1" applyAlignment="1">
      <alignment horizontal="right"/>
    </xf>
    <xf numFmtId="170" fontId="8" fillId="7" borderId="3" xfId="0" applyNumberFormat="1" applyFont="1" applyFill="1" applyBorder="1" applyAlignment="1">
      <alignment horizontal="right"/>
    </xf>
    <xf numFmtId="168" fontId="7" fillId="0" borderId="35" xfId="0" applyNumberFormat="1" applyFont="1" applyBorder="1" applyAlignment="1">
      <alignment horizontal="right"/>
    </xf>
    <xf numFmtId="174" fontId="7" fillId="0" borderId="0" xfId="0" applyNumberFormat="1" applyFont="1"/>
    <xf numFmtId="168" fontId="7" fillId="0" borderId="23" xfId="0" applyNumberFormat="1" applyFont="1" applyBorder="1" applyAlignment="1">
      <alignment horizontal="right"/>
    </xf>
    <xf numFmtId="0" fontId="54" fillId="0" borderId="14" xfId="0" applyFont="1" applyBorder="1"/>
    <xf numFmtId="0" fontId="54" fillId="0" borderId="0" xfId="0" applyFont="1"/>
    <xf numFmtId="0" fontId="54" fillId="0" borderId="2" xfId="0" applyFont="1" applyBorder="1"/>
    <xf numFmtId="43" fontId="54" fillId="0" borderId="2" xfId="0" applyNumberFormat="1" applyFont="1" applyBorder="1"/>
    <xf numFmtId="0" fontId="54" fillId="0" borderId="3" xfId="0" applyFont="1" applyBorder="1"/>
    <xf numFmtId="43" fontId="54" fillId="0" borderId="3" xfId="0" applyNumberFormat="1" applyFont="1" applyBorder="1"/>
    <xf numFmtId="43" fontId="55" fillId="0" borderId="14" xfId="0" applyNumberFormat="1" applyFont="1" applyBorder="1"/>
    <xf numFmtId="43" fontId="54" fillId="0" borderId="0" xfId="0" applyNumberFormat="1" applyFont="1"/>
    <xf numFmtId="0" fontId="55" fillId="0" borderId="14" xfId="0" applyFont="1" applyBorder="1" applyAlignment="1">
      <alignment horizontal="center"/>
    </xf>
    <xf numFmtId="43" fontId="55" fillId="0" borderId="14" xfId="0" applyNumberFormat="1" applyFont="1" applyBorder="1" applyAlignment="1">
      <alignment horizontal="center"/>
    </xf>
    <xf numFmtId="49" fontId="7" fillId="2" borderId="31" xfId="0" applyNumberFormat="1" applyFont="1" applyFill="1" applyBorder="1" applyAlignment="1">
      <alignment horizontal="left"/>
    </xf>
    <xf numFmtId="49" fontId="7" fillId="2" borderId="32" xfId="0" applyNumberFormat="1" applyFont="1" applyFill="1" applyBorder="1" applyAlignment="1">
      <alignment horizontal="left"/>
    </xf>
    <xf numFmtId="166" fontId="8" fillId="0" borderId="3" xfId="0" applyNumberFormat="1" applyFont="1" applyBorder="1" applyAlignment="1">
      <alignment horizontal="right"/>
    </xf>
    <xf numFmtId="168" fontId="8" fillId="0" borderId="34" xfId="0" applyNumberFormat="1" applyFont="1" applyBorder="1" applyAlignment="1">
      <alignment horizontal="right"/>
    </xf>
    <xf numFmtId="43" fontId="8" fillId="0" borderId="3" xfId="1" applyNumberFormat="1" applyFont="1" applyBorder="1" applyAlignment="1">
      <alignment horizontal="right"/>
    </xf>
    <xf numFmtId="166" fontId="30" fillId="0" borderId="3" xfId="0" applyNumberFormat="1" applyFont="1" applyBorder="1" applyAlignment="1">
      <alignment horizontal="right"/>
    </xf>
    <xf numFmtId="43" fontId="30" fillId="0" borderId="3" xfId="0" applyNumberFormat="1" applyFont="1" applyBorder="1"/>
    <xf numFmtId="168" fontId="56" fillId="0" borderId="10" xfId="0" applyNumberFormat="1" applyFont="1" applyBorder="1" applyAlignment="1">
      <alignment horizontal="right"/>
    </xf>
    <xf numFmtId="168" fontId="7" fillId="0" borderId="3" xfId="0" applyNumberFormat="1" applyFont="1" applyBorder="1"/>
    <xf numFmtId="168" fontId="7" fillId="0" borderId="7" xfId="0" applyNumberFormat="1" applyFont="1" applyBorder="1"/>
    <xf numFmtId="168" fontId="8" fillId="0" borderId="25" xfId="0" applyNumberFormat="1" applyFont="1" applyBorder="1" applyAlignment="1">
      <alignment horizontal="right"/>
    </xf>
    <xf numFmtId="170" fontId="30" fillId="6" borderId="26" xfId="0" applyNumberFormat="1" applyFont="1" applyFill="1" applyBorder="1" applyAlignment="1">
      <alignment horizontal="right"/>
    </xf>
    <xf numFmtId="168" fontId="8" fillId="0" borderId="3" xfId="1" applyNumberFormat="1" applyFont="1" applyBorder="1" applyAlignment="1">
      <alignment horizontal="right"/>
    </xf>
    <xf numFmtId="166" fontId="8" fillId="0" borderId="34" xfId="0" applyNumberFormat="1" applyFont="1" applyBorder="1" applyAlignment="1">
      <alignment horizontal="right"/>
    </xf>
    <xf numFmtId="49" fontId="6" fillId="0" borderId="4" xfId="0" applyNumberFormat="1" applyFont="1" applyBorder="1" applyAlignment="1">
      <alignment horizontal="left"/>
    </xf>
    <xf numFmtId="168" fontId="7" fillId="0" borderId="14" xfId="0" applyNumberFormat="1" applyFont="1" applyBorder="1" applyAlignment="1">
      <alignment horizontal="right"/>
    </xf>
    <xf numFmtId="168" fontId="7" fillId="0" borderId="24" xfId="0" applyNumberFormat="1" applyFont="1" applyBorder="1" applyAlignment="1">
      <alignment horizontal="right"/>
    </xf>
    <xf numFmtId="0" fontId="7" fillId="0" borderId="18" xfId="0" applyFont="1" applyBorder="1"/>
    <xf numFmtId="166" fontId="7" fillId="0" borderId="0" xfId="0" applyNumberFormat="1" applyFont="1"/>
    <xf numFmtId="0" fontId="7" fillId="0" borderId="46" xfId="0" applyFont="1" applyBorder="1"/>
    <xf numFmtId="0" fontId="7" fillId="0" borderId="17" xfId="0" applyFont="1" applyBorder="1"/>
    <xf numFmtId="0" fontId="7" fillId="0" borderId="10" xfId="0" applyFont="1" applyBorder="1"/>
    <xf numFmtId="3" fontId="7" fillId="0" borderId="10" xfId="0" applyNumberFormat="1" applyFont="1" applyBorder="1"/>
    <xf numFmtId="168" fontId="8" fillId="0" borderId="0" xfId="0" applyNumberFormat="1" applyFont="1" applyAlignment="1">
      <alignment horizontal="right"/>
    </xf>
    <xf numFmtId="168" fontId="8" fillId="0" borderId="2" xfId="0" applyNumberFormat="1" applyFont="1" applyBorder="1" applyAlignment="1">
      <alignment horizontal="right"/>
    </xf>
    <xf numFmtId="168" fontId="7" fillId="0" borderId="0" xfId="0" applyNumberFormat="1" applyFont="1"/>
    <xf numFmtId="168" fontId="8" fillId="0" borderId="14" xfId="0" applyNumberFormat="1" applyFont="1" applyBorder="1" applyAlignment="1">
      <alignment horizontal="right"/>
    </xf>
    <xf numFmtId="166" fontId="7" fillId="0" borderId="3" xfId="0" applyNumberFormat="1" applyFont="1" applyBorder="1" applyAlignment="1">
      <alignment horizontal="right"/>
    </xf>
    <xf numFmtId="166" fontId="7" fillId="0" borderId="17" xfId="0" applyNumberFormat="1" applyFont="1" applyBorder="1"/>
    <xf numFmtId="166" fontId="7" fillId="0" borderId="10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65" fontId="1" fillId="0" borderId="0" xfId="0" applyNumberFormat="1" applyFont="1"/>
    <xf numFmtId="0" fontId="57" fillId="0" borderId="0" xfId="0" applyFont="1"/>
    <xf numFmtId="0" fontId="26" fillId="0" borderId="0" xfId="0" applyFont="1" applyAlignment="1">
      <alignment horizontal="left"/>
    </xf>
    <xf numFmtId="0" fontId="24" fillId="0" borderId="0" xfId="0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4" fontId="33" fillId="0" borderId="0" xfId="0" applyNumberFormat="1" applyFont="1" applyAlignment="1">
      <alignment horizontal="center" vertical="center"/>
    </xf>
    <xf numFmtId="0" fontId="19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58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3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5" fillId="0" borderId="0" xfId="0" applyFont="1" applyAlignment="1">
      <alignment horizontal="center" wrapText="1"/>
    </xf>
    <xf numFmtId="0" fontId="54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numFmt numFmtId="168" formatCode="#,##0.00;\(#,##0.0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A6AE02"/>
      <color rgb="FFFFFF99"/>
      <color rgb="FFD2FB05"/>
      <color rgb="FFCCECFF"/>
      <color rgb="FFCCCCFF"/>
      <color rgb="FFFFCCCC"/>
      <color rgb="FFFFCCFF"/>
      <color rgb="FFAAF4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D3-4911-9B48-1D06052FEB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D3-4911-9B48-1D06052FEB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D3-4911-9B48-1D06052FEB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18-4B5B-845F-F49878FD63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01-43AD-BF8D-4541D9501E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CHART!$A$40:$A$44</c:f>
              <c:strCache>
                <c:ptCount val="5"/>
                <c:pt idx="0">
                  <c:v>Recurrent Expenditure</c:v>
                </c:pt>
                <c:pt idx="1">
                  <c:v>Building</c:v>
                </c:pt>
                <c:pt idx="2">
                  <c:v>Other Capital Expenditure</c:v>
                </c:pt>
                <c:pt idx="3">
                  <c:v>Surplus</c:v>
                </c:pt>
                <c:pt idx="4">
                  <c:v>Kingdom Investment</c:v>
                </c:pt>
              </c:strCache>
            </c:strRef>
          </c:cat>
          <c:val>
            <c:numRef>
              <c:f>CHART!$B$40:$B$44</c:f>
              <c:numCache>
                <c:formatCode>"₦"#,##0;[Red]\-"₦"#,##0</c:formatCode>
                <c:ptCount val="5"/>
                <c:pt idx="0">
                  <c:v>1303296287</c:v>
                </c:pt>
                <c:pt idx="1">
                  <c:v>810631000</c:v>
                </c:pt>
                <c:pt idx="2">
                  <c:v>12301200</c:v>
                </c:pt>
                <c:pt idx="3">
                  <c:v>7245705.7300000004</c:v>
                </c:pt>
                <c:pt idx="4">
                  <c:v>219705000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D3-4911-9B48-1D06052FE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</xdr:col>
      <xdr:colOff>2739570</xdr:colOff>
      <xdr:row>36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68B974D1-E574-157D-21BF-8992755C138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7772400" cy="5164183"/>
        </a:xfrm>
        <a:prstGeom xmlns:a="http://schemas.openxmlformats.org/drawingml/2006/main" prst="rect">
          <a:avLst/>
        </a:prstGeom>
      </cdr:spPr>
    </cdr:pic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AF4F8-ADFC-47AC-A22B-9902F82917C0}" name="Table1" displayName="Table1" ref="A8:B16" totalsRowShown="0">
  <tableColumns count="2">
    <tableColumn id="1" xr3:uid="{E12D39A3-0936-43C8-8EC2-94837CBD2DC5}" name="Column1" dataDxfId="1"/>
    <tableColumn id="2" xr3:uid="{F88564DF-F7D3-471C-A201-2BFFD2F0D6C4}" name="Column2" dataDxfId="0">
      <calculatedColumnFormula>VLOOKUP(Table1[[#This Row],[Column1]],'Income - 12 Period'!A4:N101,14,0)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C45"/>
  <sheetViews>
    <sheetView view="pageBreakPreview" zoomScale="60" zoomScaleNormal="90" workbookViewId="0">
      <selection activeCell="E12" sqref="E12"/>
    </sheetView>
  </sheetViews>
  <sheetFormatPr defaultRowHeight="14.6"/>
  <cols>
    <col min="1" max="1" width="61" customWidth="1"/>
    <col min="2" max="2" width="44.53515625" customWidth="1"/>
    <col min="3" max="3" width="13.3828125" bestFit="1" customWidth="1"/>
    <col min="4" max="4" width="9.3046875" customWidth="1"/>
  </cols>
  <sheetData>
    <row r="1" spans="1:3" ht="35.15">
      <c r="A1" s="214" t="s">
        <v>0</v>
      </c>
      <c r="B1" s="214"/>
    </row>
    <row r="2" spans="1:3" ht="45.45">
      <c r="A2" s="222" t="s">
        <v>154</v>
      </c>
      <c r="B2" s="222"/>
    </row>
    <row r="3" spans="1:3">
      <c r="A3" s="93"/>
    </row>
    <row r="4" spans="1:3" ht="29.15">
      <c r="A4" s="215" t="s">
        <v>1</v>
      </c>
      <c r="B4" s="215"/>
    </row>
    <row r="5" spans="1:3" ht="36.9">
      <c r="A5" s="216">
        <v>2353179192.73</v>
      </c>
      <c r="B5" s="216"/>
      <c r="C5">
        <v>2353179192.73</v>
      </c>
    </row>
    <row r="6" spans="1:3" ht="30">
      <c r="A6" s="94"/>
    </row>
    <row r="7" spans="1:3" ht="29.15">
      <c r="A7" s="215" t="s">
        <v>125</v>
      </c>
      <c r="B7" s="215"/>
    </row>
    <row r="8" spans="1:3" ht="36.9">
      <c r="A8" s="217">
        <f>'Financial Activites'!B81-'Financial Activites'!B80</f>
        <v>1303296287</v>
      </c>
      <c r="B8" s="217"/>
    </row>
    <row r="9" spans="1:3" ht="30">
      <c r="A9" s="95"/>
    </row>
    <row r="10" spans="1:3" ht="29.15">
      <c r="A10" s="215" t="s">
        <v>123</v>
      </c>
      <c r="B10" s="215"/>
    </row>
    <row r="11" spans="1:3" ht="36.9">
      <c r="A11" s="218">
        <f>Cashflow!B14*-1</f>
        <v>810631000</v>
      </c>
      <c r="B11" s="218"/>
    </row>
    <row r="12" spans="1:3" ht="30">
      <c r="A12" s="94"/>
    </row>
    <row r="13" spans="1:3" ht="29.15">
      <c r="A13" s="215" t="s">
        <v>124</v>
      </c>
      <c r="B13" s="215"/>
    </row>
    <row r="14" spans="1:3" ht="36.9">
      <c r="A14" s="223">
        <f>(Cashflow!B15+Cashflow!B16+Cashflow!B17+Cashflow!B18)*-1</f>
        <v>12301200</v>
      </c>
      <c r="B14" s="223"/>
    </row>
    <row r="15" spans="1:3" ht="29.15">
      <c r="A15" s="219" t="s">
        <v>2</v>
      </c>
      <c r="B15" s="219"/>
    </row>
    <row r="16" spans="1:3" ht="36.9">
      <c r="A16" s="220">
        <f>'Income - 12 Period'!N75</f>
        <v>219705000</v>
      </c>
      <c r="B16" s="220"/>
    </row>
    <row r="17" spans="1:2" ht="30">
      <c r="A17" s="94"/>
    </row>
    <row r="18" spans="1:2" ht="34.299999999999997">
      <c r="A18" s="215" t="s">
        <v>3</v>
      </c>
      <c r="B18" s="215"/>
    </row>
    <row r="19" spans="1:2" ht="36.9">
      <c r="A19" s="221">
        <f>Cashflow!B29</f>
        <v>7245705.7300000004</v>
      </c>
      <c r="B19" s="221"/>
    </row>
    <row r="20" spans="1:2" ht="30.9">
      <c r="A20" s="92"/>
    </row>
    <row r="40" spans="1:2">
      <c r="A40" t="s">
        <v>4</v>
      </c>
      <c r="B40" s="109">
        <f>A8</f>
        <v>1303296287</v>
      </c>
    </row>
    <row r="41" spans="1:2">
      <c r="A41" t="s">
        <v>37</v>
      </c>
      <c r="B41" s="109">
        <f>A11</f>
        <v>810631000</v>
      </c>
    </row>
    <row r="42" spans="1:2">
      <c r="A42" t="s">
        <v>124</v>
      </c>
      <c r="B42" s="109">
        <f>A14</f>
        <v>12301200</v>
      </c>
    </row>
    <row r="43" spans="1:2">
      <c r="A43" t="s">
        <v>5</v>
      </c>
      <c r="B43" s="109">
        <f>A19</f>
        <v>7245705.7300000004</v>
      </c>
    </row>
    <row r="44" spans="1:2">
      <c r="A44" t="s">
        <v>122</v>
      </c>
      <c r="B44" s="109">
        <f>A16</f>
        <v>219705000</v>
      </c>
    </row>
    <row r="45" spans="1:2">
      <c r="B45" s="109"/>
    </row>
  </sheetData>
  <mergeCells count="14">
    <mergeCell ref="A15:B15"/>
    <mergeCell ref="A18:B18"/>
    <mergeCell ref="A16:B16"/>
    <mergeCell ref="A19:B19"/>
    <mergeCell ref="A2:B2"/>
    <mergeCell ref="A13:B13"/>
    <mergeCell ref="A14:B14"/>
    <mergeCell ref="A1:B1"/>
    <mergeCell ref="A4:B4"/>
    <mergeCell ref="A5:B5"/>
    <mergeCell ref="A8:B8"/>
    <mergeCell ref="A11:B11"/>
    <mergeCell ref="A7:B7"/>
    <mergeCell ref="A10:B10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C43"/>
  <sheetViews>
    <sheetView zoomScaleNormal="100" workbookViewId="0">
      <selection activeCell="E12" sqref="E12"/>
    </sheetView>
  </sheetViews>
  <sheetFormatPr defaultColWidth="9.15234375" defaultRowHeight="18.45"/>
  <cols>
    <col min="1" max="1" width="53.3828125" style="50" customWidth="1"/>
    <col min="2" max="2" width="25.3046875" style="51" bestFit="1" customWidth="1"/>
    <col min="3" max="16384" width="9.15234375" style="50"/>
  </cols>
  <sheetData>
    <row r="1" spans="1:3" ht="20.6">
      <c r="A1" s="225" t="s">
        <v>0</v>
      </c>
      <c r="B1" s="225"/>
      <c r="C1" s="137"/>
    </row>
    <row r="2" spans="1:3">
      <c r="A2" s="226" t="s">
        <v>146</v>
      </c>
      <c r="B2" s="226"/>
      <c r="C2" s="139"/>
    </row>
    <row r="3" spans="1:3">
      <c r="A3" s="224" t="s">
        <v>155</v>
      </c>
      <c r="B3" s="224"/>
      <c r="C3" s="134"/>
    </row>
    <row r="4" spans="1:3">
      <c r="A4" s="224"/>
      <c r="B4" s="224"/>
      <c r="C4" s="48"/>
    </row>
    <row r="5" spans="1:3">
      <c r="A5" s="152" t="s">
        <v>136</v>
      </c>
      <c r="B5" s="153" t="s">
        <v>6</v>
      </c>
    </row>
    <row r="6" spans="1:3">
      <c r="A6" s="140" t="s">
        <v>7</v>
      </c>
      <c r="B6" s="141">
        <f>'Financial Activites'!B6</f>
        <v>32971799.729999997</v>
      </c>
    </row>
    <row r="7" spans="1:3">
      <c r="A7" s="142" t="s">
        <v>8</v>
      </c>
      <c r="B7" s="143"/>
    </row>
    <row r="8" spans="1:3">
      <c r="A8" s="144" t="s">
        <v>9</v>
      </c>
      <c r="B8" s="145">
        <f>VLOOKUP(A8,'Financial Activites'!A9:B84,2,0)</f>
        <v>2775940</v>
      </c>
    </row>
    <row r="9" spans="1:3">
      <c r="A9" s="144" t="s">
        <v>10</v>
      </c>
      <c r="B9" s="145">
        <f>VLOOKUP(A9,'Financial Activites'!A10:B85,2,0)</f>
        <v>218363208</v>
      </c>
    </row>
    <row r="10" spans="1:3">
      <c r="A10" s="144" t="s">
        <v>11</v>
      </c>
      <c r="B10" s="145">
        <f>VLOOKUP(A10,'Financial Activites'!A11:B86,2,0)</f>
        <v>1098059628</v>
      </c>
    </row>
    <row r="11" spans="1:3">
      <c r="A11" s="144" t="s">
        <v>12</v>
      </c>
      <c r="B11" s="145">
        <f>VLOOKUP(A11,'Financial Activites'!A12:B87,2,0)</f>
        <v>678458989</v>
      </c>
    </row>
    <row r="12" spans="1:3">
      <c r="A12" s="144" t="s">
        <v>13</v>
      </c>
      <c r="B12" s="145">
        <f>VLOOKUP(A12,'Financial Activites'!A13:B88,2,0)</f>
        <v>0</v>
      </c>
    </row>
    <row r="13" spans="1:3">
      <c r="A13" s="144" t="s">
        <v>14</v>
      </c>
      <c r="B13" s="145">
        <f>VLOOKUP(A13,'Financial Activites'!A14:B89,2,0)</f>
        <v>16599182</v>
      </c>
    </row>
    <row r="14" spans="1:3">
      <c r="A14" s="144" t="s">
        <v>15</v>
      </c>
      <c r="B14" s="145">
        <f>VLOOKUP(A14,'Financial Activites'!A15:B90,2,0)</f>
        <v>53876032</v>
      </c>
    </row>
    <row r="15" spans="1:3">
      <c r="A15" s="144" t="s">
        <v>16</v>
      </c>
      <c r="B15" s="145">
        <f>VLOOKUP(A15,'Financial Activites'!A16:B91,2,0)</f>
        <v>218955218</v>
      </c>
    </row>
    <row r="16" spans="1:3">
      <c r="A16" s="144" t="s">
        <v>17</v>
      </c>
      <c r="B16" s="145">
        <f>VLOOKUP(A16,'Financial Activites'!A17:B92,2,0)</f>
        <v>2000</v>
      </c>
    </row>
    <row r="17" spans="1:2">
      <c r="A17" s="144" t="s">
        <v>18</v>
      </c>
      <c r="B17" s="145">
        <f>VLOOKUP(A17,'Financial Activites'!A18:B93,2,0)</f>
        <v>0</v>
      </c>
    </row>
    <row r="18" spans="1:2">
      <c r="A18" s="146" t="s">
        <v>19</v>
      </c>
      <c r="B18" s="147">
        <f>SUM(B6:B17)</f>
        <v>2320061996.73</v>
      </c>
    </row>
    <row r="19" spans="1:2" s="1" customFormat="1">
      <c r="A19" s="148"/>
      <c r="B19" s="145"/>
    </row>
    <row r="20" spans="1:2" s="1" customFormat="1">
      <c r="A20" s="142" t="s">
        <v>20</v>
      </c>
      <c r="B20" s="145"/>
    </row>
    <row r="21" spans="1:2" s="1" customFormat="1">
      <c r="A21" s="144" t="s">
        <v>21</v>
      </c>
      <c r="B21" s="145">
        <f>VLOOKUP(A21,'Financial Activites'!A18:B39,2,0)</f>
        <v>3421013</v>
      </c>
    </row>
    <row r="22" spans="1:2" s="1" customFormat="1">
      <c r="A22" s="144" t="s">
        <v>22</v>
      </c>
      <c r="B22" s="145">
        <f>VLOOKUP(A22,'Financial Activites'!A19:B40,2,0)</f>
        <v>6696000</v>
      </c>
    </row>
    <row r="23" spans="1:2" s="1" customFormat="1">
      <c r="A23" s="144" t="s">
        <v>23</v>
      </c>
      <c r="B23" s="145">
        <f>VLOOKUP(A23,'Financial Activites'!A20:B41,2,0)</f>
        <v>1925451</v>
      </c>
    </row>
    <row r="24" spans="1:2" s="1" customFormat="1">
      <c r="A24" s="21" t="s">
        <v>162</v>
      </c>
      <c r="B24" s="145">
        <f>VLOOKUP(A24,'Financial Activites'!A21:B42,2,0)</f>
        <v>1275736</v>
      </c>
    </row>
    <row r="25" spans="1:2" s="1" customFormat="1">
      <c r="A25" s="144" t="s">
        <v>24</v>
      </c>
      <c r="B25" s="145">
        <f>VLOOKUP(A25,'Financial Activites'!A22:B43,2,0)</f>
        <v>10666274</v>
      </c>
    </row>
    <row r="26" spans="1:2" s="1" customFormat="1">
      <c r="A26" s="144" t="s">
        <v>179</v>
      </c>
      <c r="B26" s="145">
        <f>VLOOKUP(A26,'Financial Activites'!A23:B44,2,0)</f>
        <v>1357000</v>
      </c>
    </row>
    <row r="27" spans="1:2" s="1" customFormat="1">
      <c r="A27" s="146" t="s">
        <v>19</v>
      </c>
      <c r="B27" s="147">
        <f>SUM(B21:B26)</f>
        <v>25341474</v>
      </c>
    </row>
    <row r="28" spans="1:2" s="1" customFormat="1">
      <c r="A28" s="148"/>
      <c r="B28" s="145"/>
    </row>
    <row r="29" spans="1:2" s="1" customFormat="1">
      <c r="A29" s="142" t="s">
        <v>25</v>
      </c>
      <c r="B29" s="145"/>
    </row>
    <row r="30" spans="1:2" s="1" customFormat="1">
      <c r="A30" s="144" t="s">
        <v>26</v>
      </c>
      <c r="B30" s="145">
        <f>VLOOKUP(A30,'Financial Activites'!A27:B46,2,0)</f>
        <v>336600</v>
      </c>
    </row>
    <row r="31" spans="1:2" s="1" customFormat="1">
      <c r="A31" s="144" t="s">
        <v>27</v>
      </c>
      <c r="B31" s="145">
        <f>VLOOKUP(A31,'Financial Activites'!A28:B47,2,0)</f>
        <v>800192</v>
      </c>
    </row>
    <row r="32" spans="1:2" s="1" customFormat="1">
      <c r="A32" s="144" t="s">
        <v>28</v>
      </c>
      <c r="B32" s="145">
        <f>VLOOKUP(A32,'Financial Activites'!A29:B48,2,0)</f>
        <v>1130000</v>
      </c>
    </row>
    <row r="33" spans="1:2" s="1" customFormat="1">
      <c r="A33" s="144" t="s">
        <v>29</v>
      </c>
      <c r="B33" s="145">
        <f>VLOOKUP(A33,'Financial Activites'!A30:B49,2,0)</f>
        <v>726285</v>
      </c>
    </row>
    <row r="34" spans="1:2" s="1" customFormat="1">
      <c r="A34" s="144" t="s">
        <v>30</v>
      </c>
      <c r="B34" s="145">
        <f>VLOOKUP(A34,'Financial Activites'!A31:B50,2,0)</f>
        <v>94047</v>
      </c>
    </row>
    <row r="35" spans="1:2" s="1" customFormat="1">
      <c r="A35" s="144" t="s">
        <v>31</v>
      </c>
      <c r="B35" s="145">
        <f>VLOOKUP(A35,'Financial Activites'!A32:B51,2,0)</f>
        <v>794300</v>
      </c>
    </row>
    <row r="36" spans="1:2" s="1" customFormat="1">
      <c r="A36" s="144" t="s">
        <v>32</v>
      </c>
      <c r="B36" s="145">
        <f>VLOOKUP(A36,'Financial Activites'!A33:B52,2,0)</f>
        <v>464878</v>
      </c>
    </row>
    <row r="37" spans="1:2" s="1" customFormat="1">
      <c r="A37" s="144" t="s">
        <v>33</v>
      </c>
      <c r="B37" s="145">
        <f>VLOOKUP(A37,'Financial Activites'!A34:B53,2,0)</f>
        <v>694720</v>
      </c>
    </row>
    <row r="38" spans="1:2" s="1" customFormat="1">
      <c r="A38" s="144" t="s">
        <v>34</v>
      </c>
      <c r="B38" s="145">
        <f>VLOOKUP(A38,'Financial Activites'!A35:B54,2,0)</f>
        <v>2625000</v>
      </c>
    </row>
    <row r="39" spans="1:2" s="1" customFormat="1">
      <c r="A39" s="144" t="s">
        <v>35</v>
      </c>
      <c r="B39" s="145">
        <f>VLOOKUP(A39,'Financial Activites'!A36:B55,2,0)</f>
        <v>109700</v>
      </c>
    </row>
    <row r="40" spans="1:2" s="1" customFormat="1">
      <c r="A40" s="146" t="s">
        <v>19</v>
      </c>
      <c r="B40" s="149">
        <f>SUM(B30:B39)</f>
        <v>7775722</v>
      </c>
    </row>
    <row r="41" spans="1:2" s="1" customFormat="1">
      <c r="A41" s="148"/>
      <c r="B41" s="145"/>
    </row>
    <row r="42" spans="1:2" s="1" customFormat="1" ht="18.899999999999999" thickBot="1">
      <c r="A42" s="150" t="s">
        <v>36</v>
      </c>
      <c r="B42" s="151">
        <f>B40+B27+B18</f>
        <v>2353179192.73</v>
      </c>
    </row>
    <row r="43" spans="1:2" ht="18.899999999999999" thickTop="1"/>
  </sheetData>
  <mergeCells count="4">
    <mergeCell ref="A4:B4"/>
    <mergeCell ref="A1:B1"/>
    <mergeCell ref="A2:B2"/>
    <mergeCell ref="A3:B3"/>
  </mergeCells>
  <printOptions horizontalCentered="1"/>
  <pageMargins left="0.70866141732283472" right="0.70866141732283472" top="0.74803149606299213" bottom="0.74803149606299213" header="0.31496062992125984" footer="0.31496062992125984"/>
  <pageSetup scale="8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-0.249977111117893"/>
    <pageSetUpPr fitToPage="1"/>
  </sheetPr>
  <dimension ref="A1:D111"/>
  <sheetViews>
    <sheetView view="pageBreakPreview" zoomScale="60" zoomScaleNormal="70" workbookViewId="0">
      <selection activeCell="E12" sqref="E12"/>
    </sheetView>
  </sheetViews>
  <sheetFormatPr defaultColWidth="9.15234375" defaultRowHeight="18.45"/>
  <cols>
    <col min="1" max="1" width="63.84375" style="50" customWidth="1"/>
    <col min="2" max="2" width="25.3046875" style="51" customWidth="1"/>
    <col min="3" max="3" width="20" style="50" bestFit="1" customWidth="1"/>
    <col min="4" max="16384" width="9.15234375" style="50"/>
  </cols>
  <sheetData>
    <row r="1" spans="1:3" ht="20.149999999999999">
      <c r="A1" s="228" t="s">
        <v>0</v>
      </c>
      <c r="B1" s="228"/>
      <c r="C1" s="213"/>
    </row>
    <row r="2" spans="1:3" ht="20.149999999999999">
      <c r="A2" s="227" t="s">
        <v>146</v>
      </c>
      <c r="B2" s="227"/>
      <c r="C2" s="227"/>
    </row>
    <row r="3" spans="1:3" ht="20.149999999999999">
      <c r="A3" s="228" t="s">
        <v>155</v>
      </c>
      <c r="B3" s="228"/>
      <c r="C3" s="228"/>
    </row>
    <row r="4" spans="1:3">
      <c r="A4" s="48"/>
      <c r="B4" s="48"/>
      <c r="C4" s="48"/>
    </row>
    <row r="5" spans="1:3">
      <c r="A5" s="66"/>
      <c r="B5" s="66" t="s">
        <v>6</v>
      </c>
    </row>
    <row r="6" spans="1:3">
      <c r="A6" s="52" t="s">
        <v>39</v>
      </c>
      <c r="B6" s="53">
        <f>'Income - 12 Period'!N2</f>
        <v>32971799.729999997</v>
      </c>
    </row>
    <row r="7" spans="1:3">
      <c r="A7" s="54" t="s">
        <v>40</v>
      </c>
      <c r="B7" s="50"/>
    </row>
    <row r="8" spans="1:3" hidden="1">
      <c r="A8" s="52" t="s">
        <v>134</v>
      </c>
      <c r="B8" s="55" t="s">
        <v>135</v>
      </c>
    </row>
    <row r="9" spans="1:3">
      <c r="A9" s="52" t="s">
        <v>9</v>
      </c>
      <c r="B9" s="55">
        <f>VLOOKUP(Table1[[#This Row],[Column1]],'Income - 12 Period'!A4:N101,14,0)</f>
        <v>2775940</v>
      </c>
    </row>
    <row r="10" spans="1:3">
      <c r="A10" s="52" t="s">
        <v>10</v>
      </c>
      <c r="B10" s="55">
        <f>VLOOKUP(Table1[[#This Row],[Column1]],'Income - 12 Period'!A5:N102,14,0)</f>
        <v>218363208</v>
      </c>
    </row>
    <row r="11" spans="1:3">
      <c r="A11" s="52" t="s">
        <v>11</v>
      </c>
      <c r="B11" s="55">
        <f>VLOOKUP(Table1[[#This Row],[Column1]],'Income - 12 Period'!A6:N103,14,0)</f>
        <v>1098059628</v>
      </c>
    </row>
    <row r="12" spans="1:3">
      <c r="A12" s="52" t="s">
        <v>12</v>
      </c>
      <c r="B12" s="55">
        <f>VLOOKUP(Table1[[#This Row],[Column1]],'Income - 12 Period'!A7:N104,14,0)</f>
        <v>678458989</v>
      </c>
    </row>
    <row r="13" spans="1:3">
      <c r="A13" s="52" t="s">
        <v>13</v>
      </c>
      <c r="B13" s="55">
        <f>VLOOKUP(Table1[[#This Row],[Column1]],'Income - 12 Period'!A8:N105,14,0)</f>
        <v>0</v>
      </c>
    </row>
    <row r="14" spans="1:3">
      <c r="A14" s="52" t="s">
        <v>14</v>
      </c>
      <c r="B14" s="55">
        <f>VLOOKUP(Table1[[#This Row],[Column1]],'Income - 12 Period'!A9:N106,14,0)</f>
        <v>16599182</v>
      </c>
    </row>
    <row r="15" spans="1:3">
      <c r="A15" s="52" t="s">
        <v>15</v>
      </c>
      <c r="B15" s="55">
        <f>VLOOKUP(Table1[[#This Row],[Column1]],'Income - 12 Period'!A10:N107,14,0)</f>
        <v>53876032</v>
      </c>
    </row>
    <row r="16" spans="1:3">
      <c r="A16" s="52" t="s">
        <v>16</v>
      </c>
      <c r="B16" s="55">
        <f>VLOOKUP(A16,'Income - 12 Period'!A3:N101,14,0)</f>
        <v>218955218</v>
      </c>
    </row>
    <row r="17" spans="1:2">
      <c r="A17" s="52" t="s">
        <v>17</v>
      </c>
      <c r="B17" s="55">
        <f>'Income - 12 Period'!N12</f>
        <v>2000</v>
      </c>
    </row>
    <row r="18" spans="1:2">
      <c r="A18" s="52" t="s">
        <v>21</v>
      </c>
      <c r="B18" s="55">
        <f>VLOOKUP(A18,'Income - 12 Period'!A5:N103,14,0)</f>
        <v>3421013</v>
      </c>
    </row>
    <row r="19" spans="1:2">
      <c r="A19" s="52" t="s">
        <v>22</v>
      </c>
      <c r="B19" s="55">
        <f>VLOOKUP(A19,'Income - 12 Period'!A6:N104,14,0)</f>
        <v>6696000</v>
      </c>
    </row>
    <row r="20" spans="1:2">
      <c r="A20" s="52" t="s">
        <v>23</v>
      </c>
      <c r="B20" s="55">
        <f>VLOOKUP(A20,'Income - 12 Period'!A7:N105,14,0)</f>
        <v>1925451</v>
      </c>
    </row>
    <row r="21" spans="1:2">
      <c r="A21" s="52" t="s">
        <v>162</v>
      </c>
      <c r="B21" s="55">
        <f>VLOOKUP(A21,'Income - 12 Period'!A8:N106,14,0)</f>
        <v>1275736</v>
      </c>
    </row>
    <row r="22" spans="1:2">
      <c r="A22" s="52" t="s">
        <v>24</v>
      </c>
      <c r="B22" s="55">
        <f>VLOOKUP(A22,'Income - 12 Period'!A8:N106,14,0)</f>
        <v>10666274</v>
      </c>
    </row>
    <row r="23" spans="1:2">
      <c r="A23" s="52" t="s">
        <v>179</v>
      </c>
      <c r="B23" s="55">
        <f>VLOOKUP(A23,'Income - 12 Period'!A9:N107,14,0)</f>
        <v>1357000</v>
      </c>
    </row>
    <row r="24" spans="1:2" s="1" customFormat="1">
      <c r="A24" s="56" t="s">
        <v>41</v>
      </c>
      <c r="B24" s="57">
        <f>SUM(B6:B23)</f>
        <v>2345403470.73</v>
      </c>
    </row>
    <row r="25" spans="1:2" s="1" customFormat="1">
      <c r="A25" s="58"/>
      <c r="B25" s="55"/>
    </row>
    <row r="26" spans="1:2" s="1" customFormat="1">
      <c r="A26" s="54" t="s">
        <v>42</v>
      </c>
      <c r="B26" s="55"/>
    </row>
    <row r="27" spans="1:2" s="1" customFormat="1">
      <c r="A27" s="52" t="s">
        <v>18</v>
      </c>
      <c r="B27" s="55">
        <f>VLOOKUP(A27,'Income - 12 Period'!A12:N110,14,0)</f>
        <v>0</v>
      </c>
    </row>
    <row r="28" spans="1:2" s="1" customFormat="1">
      <c r="A28" s="52" t="s">
        <v>26</v>
      </c>
      <c r="B28" s="55">
        <f>VLOOKUP(A28,'Income - 12 Period'!A13:N111,14,0)</f>
        <v>336600</v>
      </c>
    </row>
    <row r="29" spans="1:2" s="1" customFormat="1">
      <c r="A29" s="52" t="s">
        <v>27</v>
      </c>
      <c r="B29" s="55">
        <f>VLOOKUP(A29,'Income - 12 Period'!A14:N112,14,0)</f>
        <v>800192</v>
      </c>
    </row>
    <row r="30" spans="1:2" s="1" customFormat="1">
      <c r="A30" s="52" t="s">
        <v>28</v>
      </c>
      <c r="B30" s="55">
        <f>VLOOKUP(A30,'Income - 12 Period'!A15:N113,14,0)</f>
        <v>1130000</v>
      </c>
    </row>
    <row r="31" spans="1:2" s="1" customFormat="1">
      <c r="A31" s="52" t="s">
        <v>29</v>
      </c>
      <c r="B31" s="55">
        <f>VLOOKUP(A31,'Income - 12 Period'!A17:N114,14,0)</f>
        <v>726285</v>
      </c>
    </row>
    <row r="32" spans="1:2" s="1" customFormat="1">
      <c r="A32" s="52" t="s">
        <v>30</v>
      </c>
      <c r="B32" s="55">
        <f>VLOOKUP(A32,'Income - 12 Period'!A19:N115,14,0)</f>
        <v>94047</v>
      </c>
    </row>
    <row r="33" spans="1:3" s="1" customFormat="1">
      <c r="A33" s="52" t="s">
        <v>31</v>
      </c>
      <c r="B33" s="55">
        <f>VLOOKUP(A33,'Income - 12 Period'!A20:N116,14,0)</f>
        <v>794300</v>
      </c>
    </row>
    <row r="34" spans="1:3" s="1" customFormat="1">
      <c r="A34" s="52" t="s">
        <v>32</v>
      </c>
      <c r="B34" s="55">
        <f>VLOOKUP(A34,'Income - 12 Period'!A21:N117,14,0)</f>
        <v>464878</v>
      </c>
    </row>
    <row r="35" spans="1:3" s="1" customFormat="1">
      <c r="A35" s="52" t="s">
        <v>33</v>
      </c>
      <c r="B35" s="55">
        <f>VLOOKUP(A35,'Income - 12 Period'!A22:N118,14,0)</f>
        <v>694720</v>
      </c>
    </row>
    <row r="36" spans="1:3" s="1" customFormat="1">
      <c r="A36" s="52" t="s">
        <v>34</v>
      </c>
      <c r="B36" s="55">
        <f>VLOOKUP(A36,'Income - 12 Period'!A23:N119,14,0)</f>
        <v>2625000</v>
      </c>
    </row>
    <row r="37" spans="1:3" s="1" customFormat="1">
      <c r="A37" s="52" t="s">
        <v>35</v>
      </c>
      <c r="B37" s="55">
        <f>VLOOKUP(A37,'Income - 12 Period'!A24:N120,14,0)</f>
        <v>109700</v>
      </c>
    </row>
    <row r="38" spans="1:3" s="1" customFormat="1">
      <c r="A38" s="59" t="s">
        <v>43</v>
      </c>
      <c r="B38" s="60">
        <f>SUM(B27:B37)</f>
        <v>7775722</v>
      </c>
    </row>
    <row r="39" spans="1:3" s="1" customFormat="1">
      <c r="A39" s="58"/>
      <c r="B39" s="55"/>
    </row>
    <row r="40" spans="1:3" s="1" customFormat="1">
      <c r="A40" s="61" t="s">
        <v>36</v>
      </c>
      <c r="B40" s="67">
        <f>B24+B38</f>
        <v>2353179192.73</v>
      </c>
      <c r="C40" s="212">
        <f>B40-'Income Analysis'!B42</f>
        <v>0</v>
      </c>
    </row>
    <row r="41" spans="1:3">
      <c r="A41" s="58"/>
      <c r="B41" s="55"/>
    </row>
    <row r="42" spans="1:3">
      <c r="A42" s="54" t="s">
        <v>44</v>
      </c>
      <c r="B42" s="55"/>
    </row>
    <row r="43" spans="1:3">
      <c r="A43" s="52" t="s">
        <v>45</v>
      </c>
      <c r="B43" s="55">
        <f>VLOOKUP(A43,'Income - 12 Period'!A30:N126,14,0)</f>
        <v>100081404</v>
      </c>
    </row>
    <row r="44" spans="1:3">
      <c r="A44" s="52" t="s">
        <v>46</v>
      </c>
      <c r="B44" s="55">
        <f>VLOOKUP(A44,'Income - 12 Period'!A31:N127,14,0)</f>
        <v>6990000</v>
      </c>
    </row>
    <row r="45" spans="1:3">
      <c r="A45" s="52" t="s">
        <v>47</v>
      </c>
      <c r="B45" s="55">
        <f>VLOOKUP(A45,'Income - 12 Period'!A32:N128,14,0)</f>
        <v>5455986</v>
      </c>
    </row>
    <row r="46" spans="1:3">
      <c r="A46" s="52" t="s">
        <v>48</v>
      </c>
      <c r="B46" s="55">
        <f>VLOOKUP(A46,'Income - 12 Period'!A33:N129,14,0)</f>
        <v>27813000</v>
      </c>
    </row>
    <row r="47" spans="1:3">
      <c r="A47" s="52" t="s">
        <v>49</v>
      </c>
      <c r="B47" s="55">
        <f>VLOOKUP(A47,'Income - 12 Period'!A34:N130,14,0)</f>
        <v>5192000</v>
      </c>
    </row>
    <row r="48" spans="1:3">
      <c r="A48" s="52" t="s">
        <v>50</v>
      </c>
      <c r="B48" s="55">
        <f>VLOOKUP(A48,'Income - 12 Period'!A35:N131,14,0)</f>
        <v>5168370</v>
      </c>
    </row>
    <row r="49" spans="1:2">
      <c r="A49" s="52" t="s">
        <v>51</v>
      </c>
      <c r="B49" s="55">
        <f>VLOOKUP(A49,'Income - 12 Period'!A36:N132,14,0)</f>
        <v>92848500</v>
      </c>
    </row>
    <row r="50" spans="1:2">
      <c r="A50" s="52" t="s">
        <v>52</v>
      </c>
      <c r="B50" s="55">
        <f>VLOOKUP(A50,'Income - 12 Period'!A37:N133,14,0)</f>
        <v>1338000</v>
      </c>
    </row>
    <row r="51" spans="1:2">
      <c r="A51" s="52" t="s">
        <v>53</v>
      </c>
      <c r="B51" s="55">
        <f>VLOOKUP(A51,'Income - 12 Period'!A38:N134,14,0)</f>
        <v>14922800</v>
      </c>
    </row>
    <row r="52" spans="1:2">
      <c r="A52" s="52" t="s">
        <v>54</v>
      </c>
      <c r="B52" s="55">
        <f>VLOOKUP(A52,'Income - 12 Period'!A39:N135,14,0)</f>
        <v>3788000</v>
      </c>
    </row>
    <row r="53" spans="1:2">
      <c r="A53" s="52" t="s">
        <v>55</v>
      </c>
      <c r="B53" s="55">
        <f>VLOOKUP(A53,'Income - 12 Period'!A40:N136,14,0)</f>
        <v>30348000</v>
      </c>
    </row>
    <row r="54" spans="1:2">
      <c r="A54" s="52" t="s">
        <v>56</v>
      </c>
      <c r="B54" s="55">
        <f>VLOOKUP(A54,'Income - 12 Period'!A41:N137,14,0)</f>
        <v>3479200</v>
      </c>
    </row>
    <row r="55" spans="1:2">
      <c r="A55" s="52" t="s">
        <v>57</v>
      </c>
      <c r="B55" s="55">
        <f>VLOOKUP(A55,'Income - 12 Period'!A42:N138,14,0)</f>
        <v>137275000</v>
      </c>
    </row>
    <row r="56" spans="1:2">
      <c r="A56" s="52" t="s">
        <v>58</v>
      </c>
      <c r="B56" s="55">
        <f>VLOOKUP(A56,'Income - 12 Period'!A43:N139,14,0)</f>
        <v>30066000</v>
      </c>
    </row>
    <row r="57" spans="1:2">
      <c r="A57" s="52" t="s">
        <v>59</v>
      </c>
      <c r="B57" s="55">
        <f>VLOOKUP(A57,'Income - 12 Period'!A44:N140,14,0)</f>
        <v>20184825</v>
      </c>
    </row>
    <row r="58" spans="1:2">
      <c r="A58" s="52" t="s">
        <v>120</v>
      </c>
      <c r="B58" s="55">
        <f>VLOOKUP(A58,'Income - 12 Period'!A45:N141,14,0)</f>
        <v>136161375</v>
      </c>
    </row>
    <row r="59" spans="1:2">
      <c r="A59" s="52" t="s">
        <v>60</v>
      </c>
      <c r="B59" s="55">
        <f>VLOOKUP(A59,'Income - 12 Period'!A46:N142,14,0)</f>
        <v>2101050</v>
      </c>
    </row>
    <row r="60" spans="1:2">
      <c r="A60" s="52" t="s">
        <v>61</v>
      </c>
      <c r="B60" s="55">
        <f>VLOOKUP(A60,'Income - 12 Period'!A47:N143,14,0)</f>
        <v>0</v>
      </c>
    </row>
    <row r="61" spans="1:2">
      <c r="A61" s="52" t="s">
        <v>62</v>
      </c>
      <c r="B61" s="55">
        <f>VLOOKUP(A61,'Income - 12 Period'!A48:N144,14,0)</f>
        <v>4020420</v>
      </c>
    </row>
    <row r="62" spans="1:2">
      <c r="A62" s="52" t="s">
        <v>63</v>
      </c>
      <c r="B62" s="55">
        <f>VLOOKUP(A62,'Income - 12 Period'!A49:N145,14,0)</f>
        <v>2555000</v>
      </c>
    </row>
    <row r="63" spans="1:2">
      <c r="A63" s="52" t="s">
        <v>64</v>
      </c>
      <c r="B63" s="55">
        <f>VLOOKUP(A63,'Income - 12 Period'!A50:N146,14,0)</f>
        <v>22228900</v>
      </c>
    </row>
    <row r="64" spans="1:2">
      <c r="A64" s="52" t="s">
        <v>65</v>
      </c>
      <c r="B64" s="55">
        <f>VLOOKUP(A64,'Income - 12 Period'!A51:N147,14,0)</f>
        <v>5806808</v>
      </c>
    </row>
    <row r="65" spans="1:2">
      <c r="A65" s="52" t="s">
        <v>66</v>
      </c>
      <c r="B65" s="55">
        <f>VLOOKUP(A65,'Income - 12 Period'!A52:N148,14,0)</f>
        <v>45177000</v>
      </c>
    </row>
    <row r="66" spans="1:2">
      <c r="A66" s="52" t="s">
        <v>67</v>
      </c>
      <c r="B66" s="55">
        <f>VLOOKUP(A66,'Income - 12 Period'!A53:N149,14,0)</f>
        <v>14410000</v>
      </c>
    </row>
    <row r="67" spans="1:2">
      <c r="A67" s="52" t="s">
        <v>68</v>
      </c>
      <c r="B67" s="55">
        <f>VLOOKUP(A67,'Income - 12 Period'!A54:N150,14,0)</f>
        <v>60422500</v>
      </c>
    </row>
    <row r="68" spans="1:2">
      <c r="A68" s="52" t="s">
        <v>69</v>
      </c>
      <c r="B68" s="55">
        <f>VLOOKUP(A68,'Income - 12 Period'!A55:N151,14,0)</f>
        <v>18061850</v>
      </c>
    </row>
    <row r="69" spans="1:2">
      <c r="A69" s="52" t="s">
        <v>70</v>
      </c>
      <c r="B69" s="55">
        <f>VLOOKUP(A69,'Income - 12 Period'!A56:N152,14,0)</f>
        <v>0</v>
      </c>
    </row>
    <row r="70" spans="1:2">
      <c r="A70" s="52" t="s">
        <v>71</v>
      </c>
      <c r="B70" s="55">
        <f>VLOOKUP(A70,'Income - 12 Period'!A57:N153,14,0)</f>
        <v>298040</v>
      </c>
    </row>
    <row r="71" spans="1:2">
      <c r="A71" s="52" t="s">
        <v>72</v>
      </c>
      <c r="B71" s="55">
        <f>VLOOKUP(A71,'Income - 12 Period'!A58:N154,14,0)</f>
        <v>17578030</v>
      </c>
    </row>
    <row r="72" spans="1:2">
      <c r="A72" s="52" t="s">
        <v>73</v>
      </c>
      <c r="B72" s="55">
        <f>VLOOKUP(A72,'Income - 12 Period'!A59:N155,14,0)</f>
        <v>85690155</v>
      </c>
    </row>
    <row r="73" spans="1:2">
      <c r="A73" s="52" t="s">
        <v>74</v>
      </c>
      <c r="B73" s="55">
        <f>VLOOKUP(A73,'Income - 12 Period'!A60:N156,14,0)</f>
        <v>22084400</v>
      </c>
    </row>
    <row r="74" spans="1:2">
      <c r="A74" s="52" t="s">
        <v>75</v>
      </c>
      <c r="B74" s="55">
        <f>VLOOKUP(A74,'Income - 12 Period'!A61:N157,14,0)</f>
        <v>0</v>
      </c>
    </row>
    <row r="75" spans="1:2">
      <c r="A75" s="52" t="s">
        <v>76</v>
      </c>
      <c r="B75" s="55">
        <f>VLOOKUP(A75,'Income - 12 Period'!A62:N158,14,0)</f>
        <v>14108634</v>
      </c>
    </row>
    <row r="76" spans="1:2">
      <c r="A76" s="52" t="s">
        <v>77</v>
      </c>
      <c r="B76" s="55">
        <f>VLOOKUP(A76,'Income - 12 Period'!A63:N159,14,0)</f>
        <v>324341139</v>
      </c>
    </row>
    <row r="77" spans="1:2">
      <c r="A77" s="52" t="s">
        <v>78</v>
      </c>
      <c r="B77" s="55">
        <f>VLOOKUP(A77,'Income - 12 Period'!A64:N160,14,0)</f>
        <v>3149400</v>
      </c>
    </row>
    <row r="78" spans="1:2">
      <c r="A78" s="52" t="s">
        <v>79</v>
      </c>
      <c r="B78" s="55">
        <f>VLOOKUP(A78,'Income - 12 Period'!A65:N161,14,0)</f>
        <v>17168950</v>
      </c>
    </row>
    <row r="79" spans="1:2">
      <c r="A79" s="52" t="s">
        <v>80</v>
      </c>
      <c r="B79" s="55">
        <f>VLOOKUP(A79,'Income - 12 Period'!A66:N162,14,0)</f>
        <v>22981551</v>
      </c>
    </row>
    <row r="80" spans="1:2">
      <c r="A80" s="52" t="s">
        <v>119</v>
      </c>
      <c r="B80" s="55">
        <f>VLOOKUP(A80,'Income - 12 Period'!A67:N163,14,0)</f>
        <v>219705000</v>
      </c>
    </row>
    <row r="81" spans="1:4" s="1" customFormat="1">
      <c r="A81" s="62" t="s">
        <v>81</v>
      </c>
      <c r="B81" s="63">
        <f>SUM(B43:B80)</f>
        <v>1523001287</v>
      </c>
    </row>
    <row r="82" spans="1:4">
      <c r="A82" s="64"/>
      <c r="B82" s="2"/>
    </row>
    <row r="83" spans="1:4">
      <c r="A83" s="56" t="s">
        <v>82</v>
      </c>
      <c r="B83" s="91">
        <f>-(ROUND(-B40+B81, 5))</f>
        <v>830177905.73000002</v>
      </c>
    </row>
    <row r="84" spans="1:4">
      <c r="A84" s="65"/>
      <c r="B84" s="55">
        <f>B81-B80</f>
        <v>1303296287</v>
      </c>
    </row>
    <row r="85" spans="1:4">
      <c r="B85" s="50"/>
    </row>
    <row r="86" spans="1:4">
      <c r="B86" s="50"/>
    </row>
    <row r="87" spans="1:4">
      <c r="B87" s="50"/>
    </row>
    <row r="88" spans="1:4">
      <c r="B88" s="50"/>
    </row>
    <row r="89" spans="1:4">
      <c r="B89" s="50"/>
    </row>
    <row r="90" spans="1:4">
      <c r="B90" s="50"/>
    </row>
    <row r="91" spans="1:4">
      <c r="B91" s="50"/>
    </row>
    <row r="92" spans="1:4" s="1" customFormat="1">
      <c r="A92" s="50"/>
      <c r="B92" s="50"/>
      <c r="C92" s="50"/>
      <c r="D92" s="50"/>
    </row>
    <row r="93" spans="1:4">
      <c r="B93" s="50"/>
    </row>
    <row r="94" spans="1:4">
      <c r="B94" s="50"/>
    </row>
    <row r="95" spans="1:4">
      <c r="B95" s="50"/>
    </row>
    <row r="96" spans="1:4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</sheetData>
  <mergeCells count="3">
    <mergeCell ref="A2:C2"/>
    <mergeCell ref="A3:C3"/>
    <mergeCell ref="A1:B1"/>
  </mergeCells>
  <printOptions horizontalCentered="1"/>
  <pageMargins left="0.70866141732283472" right="0.70866141732283472" top="0.70866141732283472" bottom="0.70866141732283472" header="0.31496062992125984" footer="0.31496062992125984"/>
  <pageSetup paperSize="9" scale="97" fitToHeight="0" orientation="portrait" r:id="rId1"/>
  <rowBreaks count="1" manualBreakCount="1">
    <brk id="41" max="1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C39"/>
  <sheetViews>
    <sheetView zoomScaleNormal="100" workbookViewId="0">
      <selection activeCell="E12" sqref="E12"/>
    </sheetView>
  </sheetViews>
  <sheetFormatPr defaultColWidth="9.15234375" defaultRowHeight="20.149999999999999"/>
  <cols>
    <col min="1" max="1" width="54.84375" style="69" customWidth="1"/>
    <col min="2" max="2" width="28.53515625" style="69" customWidth="1"/>
    <col min="3" max="16384" width="9.15234375" style="69"/>
  </cols>
  <sheetData>
    <row r="1" spans="1:3" ht="20.6">
      <c r="A1" s="231" t="s">
        <v>0</v>
      </c>
      <c r="B1" s="231"/>
      <c r="C1" s="137"/>
    </row>
    <row r="2" spans="1:3" ht="20.6">
      <c r="A2" s="229" t="s">
        <v>146</v>
      </c>
      <c r="B2" s="229"/>
      <c r="C2" s="229"/>
    </row>
    <row r="3" spans="1:3" ht="20.6">
      <c r="A3" s="230" t="s">
        <v>155</v>
      </c>
      <c r="B3" s="230"/>
      <c r="C3" s="230"/>
    </row>
    <row r="4" spans="1:3" ht="20.6">
      <c r="A4" s="68"/>
      <c r="B4" s="68"/>
      <c r="C4" s="68"/>
    </row>
    <row r="5" spans="1:3">
      <c r="A5" s="72" t="s">
        <v>83</v>
      </c>
      <c r="B5" s="73" t="s">
        <v>156</v>
      </c>
    </row>
    <row r="6" spans="1:3" ht="20.6">
      <c r="A6" s="74" t="s">
        <v>84</v>
      </c>
    </row>
    <row r="7" spans="1:3">
      <c r="A7" s="75" t="s">
        <v>82</v>
      </c>
      <c r="B7" s="76">
        <f>'Financial Activites'!B83</f>
        <v>830177905.73000002</v>
      </c>
    </row>
    <row r="8" spans="1:3" hidden="1">
      <c r="A8" s="75" t="s">
        <v>83</v>
      </c>
      <c r="B8" s="77">
        <f>ROUND(SUBTOTAL(9, B5:B7), 5)</f>
        <v>830177905.73000002</v>
      </c>
    </row>
    <row r="9" spans="1:3" s="70" customFormat="1" ht="20.6">
      <c r="A9" s="78"/>
      <c r="B9" s="79"/>
    </row>
    <row r="10" spans="1:3">
      <c r="A10" s="80" t="s">
        <v>85</v>
      </c>
      <c r="B10" s="81">
        <f>-(ROUND(-B8, 5))</f>
        <v>830177905.73000002</v>
      </c>
    </row>
    <row r="11" spans="1:3" s="70" customFormat="1" ht="20.6">
      <c r="A11" s="78"/>
      <c r="B11" s="71"/>
    </row>
    <row r="12" spans="1:3">
      <c r="A12" s="72" t="s">
        <v>83</v>
      </c>
    </row>
    <row r="13" spans="1:3" ht="20.6">
      <c r="A13" s="74" t="s">
        <v>86</v>
      </c>
      <c r="B13" s="82"/>
    </row>
    <row r="14" spans="1:3" ht="20.6">
      <c r="A14" s="83" t="s">
        <v>37</v>
      </c>
      <c r="B14" s="82">
        <f>'Income - 12 Period'!N82</f>
        <v>-810631000</v>
      </c>
    </row>
    <row r="15" spans="1:3" ht="20.6">
      <c r="A15" s="83" t="s">
        <v>87</v>
      </c>
      <c r="B15" s="82">
        <f>'Income - 12 Period'!N83</f>
        <v>-6196600</v>
      </c>
    </row>
    <row r="16" spans="1:3" ht="20.6">
      <c r="A16" s="84" t="s">
        <v>88</v>
      </c>
      <c r="B16" s="82">
        <f>'Income - 12 Period'!N84</f>
        <v>-6104600</v>
      </c>
    </row>
    <row r="17" spans="1:2" ht="20.6">
      <c r="A17" s="84" t="s">
        <v>133</v>
      </c>
      <c r="B17" s="82">
        <f>'Income - 12 Period'!N86</f>
        <v>0</v>
      </c>
    </row>
    <row r="18" spans="1:2" ht="20.6">
      <c r="A18" s="84" t="s">
        <v>38</v>
      </c>
      <c r="B18" s="82">
        <f>'Income - 12 Period'!N85</f>
        <v>0</v>
      </c>
    </row>
    <row r="19" spans="1:2" s="70" customFormat="1" ht="20.6">
      <c r="A19" s="78"/>
      <c r="B19" s="79"/>
    </row>
    <row r="20" spans="1:2">
      <c r="A20" s="80" t="s">
        <v>89</v>
      </c>
      <c r="B20" s="85">
        <f>ROUND(SUBTOTAL(9, B12:B19), 5)</f>
        <v>-822932200</v>
      </c>
    </row>
    <row r="21" spans="1:2" s="70" customFormat="1" ht="20.6">
      <c r="A21" s="78"/>
      <c r="B21" s="79"/>
    </row>
    <row r="22" spans="1:2">
      <c r="A22" s="72" t="s">
        <v>83</v>
      </c>
    </row>
    <row r="23" spans="1:2" ht="20.6">
      <c r="A23" s="74" t="s">
        <v>90</v>
      </c>
    </row>
    <row r="24" spans="1:2" ht="20.6">
      <c r="A24" s="84" t="s">
        <v>144</v>
      </c>
      <c r="B24" s="82">
        <v>0</v>
      </c>
    </row>
    <row r="25" spans="1:2" ht="20.6">
      <c r="A25" s="84" t="s">
        <v>145</v>
      </c>
      <c r="B25" s="82">
        <f>'Income - 12 Period'!I94</f>
        <v>0</v>
      </c>
    </row>
    <row r="26" spans="1:2" ht="20.6">
      <c r="A26" s="84"/>
      <c r="B26" s="82"/>
    </row>
    <row r="27" spans="1:2">
      <c r="A27" s="80" t="s">
        <v>91</v>
      </c>
      <c r="B27" s="85">
        <f>ROUND(SUBTOTAL(9, B24:B25), 5)</f>
        <v>0</v>
      </c>
    </row>
    <row r="28" spans="1:2" s="70" customFormat="1" ht="20.6">
      <c r="A28" s="78"/>
      <c r="B28" s="79"/>
    </row>
    <row r="29" spans="1:2" ht="20.6" thickBot="1">
      <c r="A29" s="86" t="s">
        <v>92</v>
      </c>
      <c r="B29" s="87">
        <f>-(ROUND(-B10+-B20+-B27, 5))</f>
        <v>7245705.7300000004</v>
      </c>
    </row>
    <row r="30" spans="1:2" s="70" customFormat="1" ht="21" thickTop="1">
      <c r="A30" s="78"/>
      <c r="B30" s="88"/>
    </row>
    <row r="31" spans="1:2">
      <c r="A31" s="72" t="s">
        <v>83</v>
      </c>
    </row>
    <row r="32" spans="1:2">
      <c r="A32" s="72" t="s">
        <v>83</v>
      </c>
    </row>
    <row r="33" spans="1:2">
      <c r="A33" s="72" t="s">
        <v>83</v>
      </c>
    </row>
    <row r="34" spans="1:2">
      <c r="A34" s="75" t="s">
        <v>93</v>
      </c>
    </row>
    <row r="35" spans="1:2">
      <c r="A35" s="75" t="s">
        <v>94</v>
      </c>
      <c r="B35" s="76">
        <f>B29</f>
        <v>7245705.7300000004</v>
      </c>
    </row>
    <row r="36" spans="1:2">
      <c r="A36" s="75" t="s">
        <v>95</v>
      </c>
      <c r="B36" s="77" t="e">
        <f>#REF!</f>
        <v>#REF!</v>
      </c>
    </row>
    <row r="37" spans="1:2" s="70" customFormat="1" ht="20.6">
      <c r="A37" s="78"/>
      <c r="B37" s="79"/>
    </row>
    <row r="38" spans="1:2" ht="20.6" thickBot="1">
      <c r="A38" s="75" t="s">
        <v>96</v>
      </c>
      <c r="B38" s="76" t="e">
        <f>ROUND(SUBTOTAL(9, B31:B37), 5)</f>
        <v>#REF!</v>
      </c>
    </row>
    <row r="39" spans="1:2" s="70" customFormat="1" ht="21.45" thickTop="1" thickBot="1">
      <c r="A39" s="89"/>
      <c r="B39" s="90"/>
    </row>
  </sheetData>
  <mergeCells count="3">
    <mergeCell ref="A2:C2"/>
    <mergeCell ref="A3:C3"/>
    <mergeCell ref="A1:B1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  <pageSetUpPr fitToPage="1"/>
  </sheetPr>
  <dimension ref="A1:Q117"/>
  <sheetViews>
    <sheetView view="pageBreakPreview" zoomScale="80" zoomScaleNormal="80" zoomScaleSheetLayoutView="80" workbookViewId="0">
      <pane xSplit="1" ySplit="1" topLeftCell="D61" activePane="bottomRight" state="frozen"/>
      <selection activeCell="E12" sqref="E12"/>
      <selection pane="topRight" activeCell="E12" sqref="E12"/>
      <selection pane="bottomLeft" activeCell="E12" sqref="E12"/>
      <selection pane="bottomRight" activeCell="E12" sqref="E12"/>
    </sheetView>
  </sheetViews>
  <sheetFormatPr defaultColWidth="9.15234375" defaultRowHeight="15.9"/>
  <cols>
    <col min="1" max="1" width="40.69140625" style="20" customWidth="1"/>
    <col min="2" max="2" width="25" style="20" customWidth="1"/>
    <col min="3" max="3" width="24.84375" style="20" customWidth="1"/>
    <col min="4" max="6" width="22.3046875" style="20" customWidth="1"/>
    <col min="7" max="13" width="24.84375" style="20" customWidth="1"/>
    <col min="14" max="14" width="25.15234375" style="23" bestFit="1" customWidth="1"/>
    <col min="15" max="15" width="14.3046875" style="20" bestFit="1" customWidth="1"/>
    <col min="16" max="16" width="9.15234375" style="20"/>
    <col min="17" max="17" width="21.15234375" style="20" customWidth="1"/>
    <col min="18" max="16384" width="9.15234375" style="20"/>
  </cols>
  <sheetData>
    <row r="1" spans="1:17" ht="16.3" thickBot="1">
      <c r="A1" s="180" t="s">
        <v>128</v>
      </c>
      <c r="B1" s="181" t="s">
        <v>159</v>
      </c>
      <c r="C1" s="138" t="s">
        <v>97</v>
      </c>
      <c r="D1" s="135" t="s">
        <v>98</v>
      </c>
      <c r="E1" s="135" t="s">
        <v>99</v>
      </c>
      <c r="F1" s="135" t="s">
        <v>100</v>
      </c>
      <c r="G1" s="135" t="s">
        <v>101</v>
      </c>
      <c r="H1" s="135" t="s">
        <v>137</v>
      </c>
      <c r="I1" s="135" t="s">
        <v>138</v>
      </c>
      <c r="J1" s="135" t="s">
        <v>139</v>
      </c>
      <c r="K1" s="135" t="s">
        <v>140</v>
      </c>
      <c r="L1" s="135" t="s">
        <v>141</v>
      </c>
      <c r="M1" s="135" t="s">
        <v>142</v>
      </c>
      <c r="N1" s="136" t="s">
        <v>102</v>
      </c>
    </row>
    <row r="2" spans="1:17">
      <c r="A2" s="21" t="s">
        <v>146</v>
      </c>
      <c r="B2" s="41">
        <v>32971799.729999997</v>
      </c>
      <c r="C2" s="10">
        <v>4820388.4800000004</v>
      </c>
      <c r="D2" s="42">
        <v>5921124.4800000042</v>
      </c>
      <c r="E2" s="10">
        <v>4774147.8</v>
      </c>
      <c r="F2" s="10">
        <v>5297932.95</v>
      </c>
      <c r="G2" s="10">
        <v>2928743.36</v>
      </c>
      <c r="H2" s="155">
        <v>4757226.87</v>
      </c>
      <c r="I2" s="155">
        <v>9349171.0299999993</v>
      </c>
      <c r="J2" s="155">
        <v>6902476.0099999998</v>
      </c>
      <c r="K2" s="155">
        <v>3640852.37</v>
      </c>
      <c r="L2" s="193">
        <v>3939669.98</v>
      </c>
      <c r="M2" s="193">
        <v>5498237.0600000005</v>
      </c>
      <c r="N2" s="100">
        <f>B2</f>
        <v>32971799.729999997</v>
      </c>
    </row>
    <row r="3" spans="1:17">
      <c r="A3" s="14" t="s">
        <v>40</v>
      </c>
      <c r="B3" s="41"/>
      <c r="C3" s="22"/>
      <c r="D3" s="41"/>
      <c r="E3" s="22"/>
      <c r="F3" s="22"/>
      <c r="G3" s="22"/>
      <c r="H3" s="154"/>
      <c r="I3" s="154"/>
      <c r="J3" s="154"/>
      <c r="K3" s="154"/>
      <c r="L3" s="154"/>
      <c r="M3" s="154"/>
      <c r="N3" s="100"/>
      <c r="Q3" s="205"/>
    </row>
    <row r="4" spans="1:17">
      <c r="A4" s="21" t="s">
        <v>9</v>
      </c>
      <c r="B4" s="182">
        <v>222750</v>
      </c>
      <c r="C4" s="182">
        <v>71000</v>
      </c>
      <c r="D4" s="182">
        <v>68400</v>
      </c>
      <c r="E4" s="182">
        <v>354410</v>
      </c>
      <c r="F4" s="182">
        <v>340170</v>
      </c>
      <c r="G4" s="182">
        <v>0</v>
      </c>
      <c r="H4" s="193">
        <v>343310</v>
      </c>
      <c r="I4" s="193">
        <v>0</v>
      </c>
      <c r="J4" s="193">
        <v>293770</v>
      </c>
      <c r="K4" s="193">
        <v>379130</v>
      </c>
      <c r="L4" s="193">
        <v>371430</v>
      </c>
      <c r="M4" s="193">
        <v>331570</v>
      </c>
      <c r="N4" s="96">
        <f>M4+L4+K4+J4+I4+H4+G4+F4+E4+D4+C4+B4</f>
        <v>2775940</v>
      </c>
      <c r="Q4" s="205"/>
    </row>
    <row r="5" spans="1:17">
      <c r="A5" s="21" t="s">
        <v>10</v>
      </c>
      <c r="B5" s="182">
        <v>22085703</v>
      </c>
      <c r="C5" s="182">
        <v>13593838</v>
      </c>
      <c r="D5" s="182">
        <v>16251845</v>
      </c>
      <c r="E5" s="182">
        <v>15344866</v>
      </c>
      <c r="F5" s="182">
        <v>14883258</v>
      </c>
      <c r="G5" s="182">
        <v>18114551</v>
      </c>
      <c r="H5" s="193">
        <v>31564548</v>
      </c>
      <c r="I5" s="193">
        <v>19925622</v>
      </c>
      <c r="J5" s="193">
        <v>17200306</v>
      </c>
      <c r="K5" s="193">
        <v>16114207</v>
      </c>
      <c r="L5" s="193">
        <v>16806275</v>
      </c>
      <c r="M5" s="193">
        <v>16478189</v>
      </c>
      <c r="N5" s="96">
        <f t="shared" ref="N5:N16" si="0">M5+L5+K5+J5+I5+H5+G5+F5+E5+D5+C5+B5</f>
        <v>218363208</v>
      </c>
      <c r="Q5" s="205"/>
    </row>
    <row r="6" spans="1:17">
      <c r="A6" s="21" t="s">
        <v>11</v>
      </c>
      <c r="B6" s="182">
        <v>28755920</v>
      </c>
      <c r="C6" s="182">
        <v>64180124</v>
      </c>
      <c r="D6" s="182">
        <v>26908636</v>
      </c>
      <c r="E6" s="182">
        <v>166463408</v>
      </c>
      <c r="F6" s="182">
        <v>38219779</v>
      </c>
      <c r="G6" s="182">
        <v>47490621</v>
      </c>
      <c r="H6" s="193">
        <v>172134500</v>
      </c>
      <c r="I6" s="193">
        <v>53238738</v>
      </c>
      <c r="J6" s="193">
        <v>221034851</v>
      </c>
      <c r="K6" s="193">
        <v>169852187</v>
      </c>
      <c r="L6" s="193">
        <v>49827146</v>
      </c>
      <c r="M6" s="193">
        <v>59953718</v>
      </c>
      <c r="N6" s="96">
        <f t="shared" si="0"/>
        <v>1098059628</v>
      </c>
      <c r="Q6" s="205"/>
    </row>
    <row r="7" spans="1:17">
      <c r="A7" s="21" t="s">
        <v>12</v>
      </c>
      <c r="B7" s="182">
        <v>161338791</v>
      </c>
      <c r="C7" s="182">
        <v>107466417</v>
      </c>
      <c r="D7" s="182">
        <v>38098950</v>
      </c>
      <c r="E7" s="182">
        <v>42639956</v>
      </c>
      <c r="F7" s="182">
        <v>9894400</v>
      </c>
      <c r="G7" s="182">
        <v>19470245</v>
      </c>
      <c r="H7" s="193">
        <v>61766568</v>
      </c>
      <c r="I7" s="193">
        <v>110410500</v>
      </c>
      <c r="J7" s="193">
        <v>93834040</v>
      </c>
      <c r="K7" s="193">
        <v>10412342</v>
      </c>
      <c r="L7" s="193">
        <v>12416780</v>
      </c>
      <c r="M7" s="193">
        <v>10710000</v>
      </c>
      <c r="N7" s="96">
        <f t="shared" si="0"/>
        <v>678458989</v>
      </c>
      <c r="Q7" s="205"/>
    </row>
    <row r="8" spans="1:17">
      <c r="A8" s="21" t="s">
        <v>13</v>
      </c>
      <c r="B8" s="182">
        <v>0</v>
      </c>
      <c r="C8" s="182">
        <v>0</v>
      </c>
      <c r="D8" s="182">
        <v>0</v>
      </c>
      <c r="E8" s="182">
        <v>0</v>
      </c>
      <c r="F8" s="182">
        <v>0</v>
      </c>
      <c r="G8" s="182">
        <v>0</v>
      </c>
      <c r="H8" s="193">
        <v>0</v>
      </c>
      <c r="I8" s="193">
        <v>0</v>
      </c>
      <c r="J8" s="193">
        <v>0</v>
      </c>
      <c r="K8" s="193">
        <v>0</v>
      </c>
      <c r="L8" s="193">
        <v>0</v>
      </c>
      <c r="M8" s="193">
        <v>0</v>
      </c>
      <c r="N8" s="96">
        <f t="shared" si="0"/>
        <v>0</v>
      </c>
      <c r="Q8" s="205"/>
    </row>
    <row r="9" spans="1:17">
      <c r="A9" s="21" t="s">
        <v>14</v>
      </c>
      <c r="B9" s="182">
        <v>2063734</v>
      </c>
      <c r="C9" s="182">
        <v>832564</v>
      </c>
      <c r="D9" s="182">
        <v>870678</v>
      </c>
      <c r="E9" s="182">
        <v>733479</v>
      </c>
      <c r="F9" s="182">
        <v>718601</v>
      </c>
      <c r="G9" s="182">
        <v>0</v>
      </c>
      <c r="H9" s="193">
        <v>6499411</v>
      </c>
      <c r="I9" s="193">
        <v>1551635</v>
      </c>
      <c r="J9" s="193">
        <v>1697973</v>
      </c>
      <c r="K9" s="193">
        <v>721783</v>
      </c>
      <c r="L9" s="193">
        <v>528521</v>
      </c>
      <c r="M9" s="193">
        <v>380803</v>
      </c>
      <c r="N9" s="96">
        <f t="shared" si="0"/>
        <v>16599182</v>
      </c>
      <c r="Q9" s="205"/>
    </row>
    <row r="10" spans="1:17">
      <c r="A10" s="21" t="s">
        <v>15</v>
      </c>
      <c r="B10" s="182">
        <v>7030940</v>
      </c>
      <c r="C10" s="182">
        <v>7118640</v>
      </c>
      <c r="D10" s="182">
        <v>2735901</v>
      </c>
      <c r="E10" s="182">
        <v>7963104</v>
      </c>
      <c r="F10" s="182">
        <v>736500</v>
      </c>
      <c r="G10" s="182">
        <v>1179820</v>
      </c>
      <c r="H10" s="193">
        <v>1043199</v>
      </c>
      <c r="I10" s="193">
        <v>4038502</v>
      </c>
      <c r="J10" s="193">
        <v>3190775</v>
      </c>
      <c r="K10" s="193">
        <v>981400</v>
      </c>
      <c r="L10" s="193">
        <v>3100275</v>
      </c>
      <c r="M10" s="193">
        <v>14756976</v>
      </c>
      <c r="N10" s="96">
        <f t="shared" si="0"/>
        <v>53876032</v>
      </c>
      <c r="Q10" s="205"/>
    </row>
    <row r="11" spans="1:17">
      <c r="A11" s="21" t="s">
        <v>16</v>
      </c>
      <c r="B11" s="182">
        <v>18686413</v>
      </c>
      <c r="C11" s="182">
        <v>14989392</v>
      </c>
      <c r="D11" s="182">
        <v>15844410</v>
      </c>
      <c r="E11" s="182">
        <v>19904653</v>
      </c>
      <c r="F11" s="182">
        <v>14404981</v>
      </c>
      <c r="G11" s="182">
        <v>13889670</v>
      </c>
      <c r="H11" s="193">
        <v>27035344</v>
      </c>
      <c r="I11" s="193">
        <v>17119300</v>
      </c>
      <c r="J11" s="193">
        <v>16420873</v>
      </c>
      <c r="K11" s="193">
        <v>15114697</v>
      </c>
      <c r="L11" s="193">
        <v>14144976</v>
      </c>
      <c r="M11" s="193">
        <v>31400509</v>
      </c>
      <c r="N11" s="96">
        <f>M11+L11+K11+J11+I11+H11+G11+F11+E11+D11+C11+B11</f>
        <v>218955218</v>
      </c>
      <c r="Q11" s="205"/>
    </row>
    <row r="12" spans="1:17">
      <c r="A12" s="47" t="s">
        <v>103</v>
      </c>
      <c r="B12" s="182">
        <v>0</v>
      </c>
      <c r="C12" s="182">
        <v>0</v>
      </c>
      <c r="D12" s="182">
        <v>0</v>
      </c>
      <c r="E12" s="182">
        <v>2000</v>
      </c>
      <c r="F12" s="182">
        <v>0</v>
      </c>
      <c r="G12" s="182">
        <v>0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96">
        <f t="shared" si="0"/>
        <v>2000</v>
      </c>
      <c r="Q12" s="205"/>
    </row>
    <row r="13" spans="1:17">
      <c r="A13" s="21" t="s">
        <v>21</v>
      </c>
      <c r="B13" s="182">
        <v>284367</v>
      </c>
      <c r="C13" s="182">
        <v>385324</v>
      </c>
      <c r="D13" s="182">
        <v>235000</v>
      </c>
      <c r="E13" s="182">
        <v>230500</v>
      </c>
      <c r="F13" s="182">
        <v>305106</v>
      </c>
      <c r="G13" s="182">
        <v>247742</v>
      </c>
      <c r="H13" s="193">
        <v>217830</v>
      </c>
      <c r="I13" s="193">
        <v>189600</v>
      </c>
      <c r="J13" s="193">
        <v>165968</v>
      </c>
      <c r="K13" s="193">
        <v>315773</v>
      </c>
      <c r="L13" s="193">
        <v>365977</v>
      </c>
      <c r="M13" s="193">
        <v>477826</v>
      </c>
      <c r="N13" s="96">
        <f t="shared" si="0"/>
        <v>3421013</v>
      </c>
      <c r="Q13" s="205"/>
    </row>
    <row r="14" spans="1:17">
      <c r="A14" s="21" t="s">
        <v>22</v>
      </c>
      <c r="B14" s="182">
        <v>0</v>
      </c>
      <c r="C14" s="182">
        <v>606000</v>
      </c>
      <c r="D14" s="182">
        <v>500000</v>
      </c>
      <c r="E14" s="182">
        <v>823000</v>
      </c>
      <c r="F14" s="182">
        <v>606000</v>
      </c>
      <c r="G14" s="182">
        <v>680000</v>
      </c>
      <c r="H14" s="193">
        <v>592000</v>
      </c>
      <c r="I14" s="193">
        <v>0</v>
      </c>
      <c r="J14" s="193">
        <v>501000</v>
      </c>
      <c r="K14" s="193">
        <v>551000</v>
      </c>
      <c r="L14" s="193">
        <v>517000</v>
      </c>
      <c r="M14" s="193">
        <v>1320000</v>
      </c>
      <c r="N14" s="96">
        <f t="shared" si="0"/>
        <v>6696000</v>
      </c>
      <c r="Q14" s="205"/>
    </row>
    <row r="15" spans="1:17">
      <c r="A15" s="21" t="s">
        <v>23</v>
      </c>
      <c r="B15" s="182">
        <v>0</v>
      </c>
      <c r="C15" s="182">
        <v>196000</v>
      </c>
      <c r="D15" s="182">
        <v>414000</v>
      </c>
      <c r="E15" s="182">
        <v>343000</v>
      </c>
      <c r="F15" s="182">
        <v>56586</v>
      </c>
      <c r="G15" s="182">
        <v>138000</v>
      </c>
      <c r="H15" s="193">
        <v>150490</v>
      </c>
      <c r="I15" s="193">
        <v>0</v>
      </c>
      <c r="J15" s="193">
        <v>103000</v>
      </c>
      <c r="K15" s="193">
        <v>0</v>
      </c>
      <c r="L15" s="193">
        <v>339603</v>
      </c>
      <c r="M15" s="193">
        <v>184772</v>
      </c>
      <c r="N15" s="96">
        <f t="shared" si="0"/>
        <v>1925451</v>
      </c>
      <c r="Q15" s="205"/>
    </row>
    <row r="16" spans="1:17">
      <c r="A16" s="21" t="s">
        <v>162</v>
      </c>
      <c r="B16" s="182">
        <v>0</v>
      </c>
      <c r="C16" s="182">
        <v>0</v>
      </c>
      <c r="D16" s="182">
        <v>0</v>
      </c>
      <c r="E16" s="182">
        <v>220000</v>
      </c>
      <c r="F16" s="182">
        <v>332530</v>
      </c>
      <c r="G16" s="182">
        <v>307206</v>
      </c>
      <c r="H16" s="193">
        <v>416000</v>
      </c>
      <c r="I16" s="193">
        <v>0</v>
      </c>
      <c r="J16" s="193">
        <v>0</v>
      </c>
      <c r="K16" s="183">
        <v>0</v>
      </c>
      <c r="L16" s="193">
        <v>0</v>
      </c>
      <c r="M16" s="193">
        <v>0</v>
      </c>
      <c r="N16" s="96">
        <f t="shared" si="0"/>
        <v>1275736</v>
      </c>
      <c r="Q16" s="205"/>
    </row>
    <row r="17" spans="1:17">
      <c r="A17" s="21" t="s">
        <v>24</v>
      </c>
      <c r="B17" s="182">
        <v>725500</v>
      </c>
      <c r="C17" s="182">
        <v>502000</v>
      </c>
      <c r="D17" s="182">
        <v>651406</v>
      </c>
      <c r="E17" s="182">
        <v>700000</v>
      </c>
      <c r="F17" s="182">
        <v>524000</v>
      </c>
      <c r="G17" s="182">
        <v>685260</v>
      </c>
      <c r="H17" s="193">
        <v>3410000</v>
      </c>
      <c r="I17" s="193">
        <v>0</v>
      </c>
      <c r="J17" s="193">
        <v>383600</v>
      </c>
      <c r="K17" s="193">
        <v>1043108</v>
      </c>
      <c r="L17" s="193">
        <v>755500</v>
      </c>
      <c r="M17" s="193">
        <v>1285900</v>
      </c>
      <c r="N17" s="96">
        <f>M17+L17+K17+J17+I17+H17+G17+F17+E17+D17+C17+B17</f>
        <v>10666274</v>
      </c>
      <c r="Q17" s="205"/>
    </row>
    <row r="18" spans="1:17" ht="18.45">
      <c r="A18" s="52" t="s">
        <v>179</v>
      </c>
      <c r="B18" s="200">
        <v>0</v>
      </c>
      <c r="C18" s="200">
        <v>0</v>
      </c>
      <c r="D18" s="200">
        <v>0</v>
      </c>
      <c r="E18" s="200">
        <v>0</v>
      </c>
      <c r="F18" s="200">
        <v>0</v>
      </c>
      <c r="G18" s="200">
        <v>0</v>
      </c>
      <c r="H18" s="199">
        <v>0</v>
      </c>
      <c r="I18" s="201">
        <v>0</v>
      </c>
      <c r="J18" s="201">
        <v>0</v>
      </c>
      <c r="K18" s="201">
        <v>0</v>
      </c>
      <c r="L18" s="202">
        <v>300000</v>
      </c>
      <c r="M18" s="208">
        <v>1057000</v>
      </c>
      <c r="N18" s="96">
        <f>M18+L18+K18+J18+I18+H18+G18+F18+E18+D18+C18+B18</f>
        <v>1357000</v>
      </c>
    </row>
    <row r="19" spans="1:17">
      <c r="A19" s="25" t="s">
        <v>41</v>
      </c>
      <c r="B19" s="26">
        <f t="shared" ref="B19:K19" si="1">SUM(B2:B18)</f>
        <v>274165917.73000002</v>
      </c>
      <c r="C19" s="26">
        <f t="shared" si="1"/>
        <v>214761687.48000002</v>
      </c>
      <c r="D19" s="26">
        <f t="shared" si="1"/>
        <v>108500350.48</v>
      </c>
      <c r="E19" s="26">
        <f t="shared" si="1"/>
        <v>260496523.80000001</v>
      </c>
      <c r="F19" s="26">
        <f t="shared" si="1"/>
        <v>86319843.950000003</v>
      </c>
      <c r="G19" s="26">
        <f t="shared" si="1"/>
        <v>105131858.36</v>
      </c>
      <c r="H19" s="26">
        <f t="shared" si="1"/>
        <v>309930426.87</v>
      </c>
      <c r="I19" s="26">
        <f t="shared" si="1"/>
        <v>215823068.03</v>
      </c>
      <c r="J19" s="26">
        <f t="shared" si="1"/>
        <v>361728632.00999999</v>
      </c>
      <c r="K19" s="26">
        <f t="shared" si="1"/>
        <v>219126479.37</v>
      </c>
      <c r="L19" s="26">
        <f>SUM(L2:L18)</f>
        <v>103413152.98</v>
      </c>
      <c r="M19" s="26">
        <f>SUM(M2:M18)</f>
        <v>143835500.06</v>
      </c>
      <c r="N19" s="101">
        <f>SUM(N2:N18)</f>
        <v>2345403470.73</v>
      </c>
      <c r="O19" s="46"/>
    </row>
    <row r="20" spans="1:17" s="3" customFormat="1">
      <c r="A20" s="4"/>
      <c r="B20" s="9"/>
      <c r="C20" s="9"/>
      <c r="D20" s="9"/>
      <c r="E20" s="9"/>
      <c r="F20" s="9"/>
      <c r="G20" s="9"/>
      <c r="H20" s="156"/>
      <c r="I20" s="156"/>
      <c r="J20" s="156"/>
      <c r="K20" s="156"/>
      <c r="L20" s="156"/>
      <c r="M20" s="156"/>
      <c r="N20" s="96"/>
    </row>
    <row r="21" spans="1:17" s="3" customFormat="1">
      <c r="A21" s="14" t="s">
        <v>42</v>
      </c>
      <c r="B21" s="9"/>
      <c r="C21" s="9"/>
      <c r="D21" s="9"/>
      <c r="E21" s="15"/>
      <c r="F21" s="15"/>
      <c r="G21" s="15"/>
      <c r="H21" s="157"/>
      <c r="I21" s="157"/>
      <c r="J21" s="157"/>
      <c r="K21" s="157"/>
      <c r="L21" s="157"/>
      <c r="M21" s="157"/>
      <c r="N21" s="96"/>
    </row>
    <row r="22" spans="1:17" s="3" customFormat="1">
      <c r="A22" s="21" t="s">
        <v>18</v>
      </c>
      <c r="B22" s="182">
        <v>0</v>
      </c>
      <c r="C22" s="182">
        <v>0</v>
      </c>
      <c r="D22" s="182">
        <v>0</v>
      </c>
      <c r="E22" s="182">
        <v>0</v>
      </c>
      <c r="F22" s="182">
        <v>0</v>
      </c>
      <c r="G22" s="182">
        <v>0</v>
      </c>
      <c r="H22" s="193">
        <v>0</v>
      </c>
      <c r="I22" s="193">
        <v>0</v>
      </c>
      <c r="J22" s="155"/>
      <c r="K22" s="193">
        <v>0</v>
      </c>
      <c r="L22" s="193">
        <v>0</v>
      </c>
      <c r="M22" s="193">
        <v>0</v>
      </c>
      <c r="N22" s="96">
        <f t="shared" ref="N22:N32" si="2">SUM(B22:M22)</f>
        <v>0</v>
      </c>
    </row>
    <row r="23" spans="1:17" s="3" customFormat="1">
      <c r="A23" s="21" t="s">
        <v>26</v>
      </c>
      <c r="B23" s="182">
        <v>102000</v>
      </c>
      <c r="C23" s="182">
        <v>0</v>
      </c>
      <c r="D23" s="182">
        <v>0</v>
      </c>
      <c r="E23" s="182">
        <v>0</v>
      </c>
      <c r="F23" s="182">
        <v>0</v>
      </c>
      <c r="G23" s="182">
        <v>0</v>
      </c>
      <c r="H23" s="193">
        <v>0</v>
      </c>
      <c r="I23" s="193">
        <v>0</v>
      </c>
      <c r="J23" s="193">
        <v>0</v>
      </c>
      <c r="K23" s="193">
        <v>53200</v>
      </c>
      <c r="L23" s="193">
        <v>100700</v>
      </c>
      <c r="M23" s="193">
        <v>80700</v>
      </c>
      <c r="N23" s="96">
        <f t="shared" si="2"/>
        <v>336600</v>
      </c>
    </row>
    <row r="24" spans="1:17" s="3" customFormat="1">
      <c r="A24" s="21" t="s">
        <v>27</v>
      </c>
      <c r="B24" s="182">
        <v>0</v>
      </c>
      <c r="C24" s="182">
        <v>0</v>
      </c>
      <c r="D24" s="182">
        <v>0</v>
      </c>
      <c r="E24" s="182">
        <v>0</v>
      </c>
      <c r="F24" s="182">
        <v>430000</v>
      </c>
      <c r="G24" s="182">
        <v>0</v>
      </c>
      <c r="H24" s="193">
        <v>0</v>
      </c>
      <c r="I24" s="193">
        <v>0</v>
      </c>
      <c r="J24" s="193">
        <v>0</v>
      </c>
      <c r="K24" s="193">
        <v>0</v>
      </c>
      <c r="L24" s="193">
        <v>170192</v>
      </c>
      <c r="M24" s="193">
        <v>200000</v>
      </c>
      <c r="N24" s="96">
        <f>SUM(B24:M24)</f>
        <v>800192</v>
      </c>
    </row>
    <row r="25" spans="1:17" s="3" customFormat="1">
      <c r="A25" s="21" t="s">
        <v>28</v>
      </c>
      <c r="B25" s="182">
        <v>0</v>
      </c>
      <c r="C25" s="182">
        <v>0</v>
      </c>
      <c r="D25" s="182">
        <v>114000</v>
      </c>
      <c r="E25" s="182">
        <v>149000</v>
      </c>
      <c r="F25" s="182">
        <v>108000</v>
      </c>
      <c r="G25" s="182">
        <v>88000</v>
      </c>
      <c r="H25" s="193">
        <v>168000</v>
      </c>
      <c r="I25" s="193">
        <v>108000</v>
      </c>
      <c r="J25" s="193">
        <v>79000</v>
      </c>
      <c r="K25" s="193">
        <v>69000</v>
      </c>
      <c r="L25" s="193">
        <v>129000</v>
      </c>
      <c r="M25" s="193">
        <v>118000</v>
      </c>
      <c r="N25" s="96">
        <f t="shared" si="2"/>
        <v>1130000</v>
      </c>
    </row>
    <row r="26" spans="1:17" s="3" customFormat="1">
      <c r="A26" s="21" t="s">
        <v>29</v>
      </c>
      <c r="B26" s="182">
        <v>0</v>
      </c>
      <c r="C26" s="182">
        <v>0</v>
      </c>
      <c r="D26" s="182">
        <v>175182</v>
      </c>
      <c r="E26" s="182">
        <v>112256</v>
      </c>
      <c r="F26" s="182">
        <v>0</v>
      </c>
      <c r="G26" s="182">
        <v>90210</v>
      </c>
      <c r="H26" s="193">
        <v>108244</v>
      </c>
      <c r="I26" s="193">
        <v>0</v>
      </c>
      <c r="J26" s="193">
        <v>113519</v>
      </c>
      <c r="K26" s="193">
        <v>48206</v>
      </c>
      <c r="L26" s="193">
        <v>0</v>
      </c>
      <c r="M26" s="193">
        <v>78668</v>
      </c>
      <c r="N26" s="96">
        <f t="shared" si="2"/>
        <v>726285</v>
      </c>
    </row>
    <row r="27" spans="1:17" s="3" customFormat="1">
      <c r="A27" s="21" t="s">
        <v>30</v>
      </c>
      <c r="B27" s="182">
        <v>0</v>
      </c>
      <c r="C27" s="182">
        <v>0</v>
      </c>
      <c r="D27" s="182">
        <v>-23871</v>
      </c>
      <c r="E27" s="182">
        <v>117918</v>
      </c>
      <c r="F27" s="182">
        <v>0</v>
      </c>
      <c r="G27" s="182">
        <v>0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96">
        <f t="shared" si="2"/>
        <v>94047</v>
      </c>
    </row>
    <row r="28" spans="1:17" s="3" customFormat="1">
      <c r="A28" s="21" t="s">
        <v>31</v>
      </c>
      <c r="B28" s="182">
        <v>0</v>
      </c>
      <c r="C28" s="182">
        <v>0</v>
      </c>
      <c r="D28" s="182">
        <v>0</v>
      </c>
      <c r="E28" s="182">
        <v>80000</v>
      </c>
      <c r="F28" s="182">
        <v>72000</v>
      </c>
      <c r="G28" s="182">
        <v>36000</v>
      </c>
      <c r="H28" s="193">
        <v>0</v>
      </c>
      <c r="I28" s="193">
        <v>0</v>
      </c>
      <c r="J28" s="193">
        <v>156000</v>
      </c>
      <c r="K28" s="193">
        <v>131300</v>
      </c>
      <c r="L28" s="193">
        <v>113000</v>
      </c>
      <c r="M28" s="193">
        <v>206000</v>
      </c>
      <c r="N28" s="96">
        <f t="shared" si="2"/>
        <v>794300</v>
      </c>
    </row>
    <row r="29" spans="1:17" s="3" customFormat="1">
      <c r="A29" s="21" t="s">
        <v>32</v>
      </c>
      <c r="B29" s="182">
        <v>0</v>
      </c>
      <c r="C29" s="182">
        <v>0</v>
      </c>
      <c r="D29" s="182">
        <v>318000</v>
      </c>
      <c r="E29" s="182">
        <v>0</v>
      </c>
      <c r="F29" s="182">
        <v>146878</v>
      </c>
      <c r="G29" s="182">
        <v>0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96">
        <f t="shared" si="2"/>
        <v>464878</v>
      </c>
    </row>
    <row r="30" spans="1:17" s="3" customFormat="1">
      <c r="A30" s="21" t="s">
        <v>33</v>
      </c>
      <c r="B30" s="182">
        <v>0</v>
      </c>
      <c r="C30" s="182">
        <v>0</v>
      </c>
      <c r="D30" s="182">
        <v>241380</v>
      </c>
      <c r="E30" s="182">
        <v>112500</v>
      </c>
      <c r="F30" s="182">
        <v>120000</v>
      </c>
      <c r="G30" s="182">
        <v>86000</v>
      </c>
      <c r="H30" s="193">
        <v>0</v>
      </c>
      <c r="I30" s="193">
        <v>0</v>
      </c>
      <c r="J30" s="193">
        <v>0</v>
      </c>
      <c r="K30" s="193">
        <v>0</v>
      </c>
      <c r="L30" s="193">
        <v>49100</v>
      </c>
      <c r="M30" s="193">
        <v>85740</v>
      </c>
      <c r="N30" s="96">
        <f t="shared" si="2"/>
        <v>694720</v>
      </c>
    </row>
    <row r="31" spans="1:17" s="3" customFormat="1">
      <c r="A31" s="21" t="s">
        <v>34</v>
      </c>
      <c r="B31" s="182">
        <v>0</v>
      </c>
      <c r="C31" s="182">
        <v>0</v>
      </c>
      <c r="D31" s="182">
        <v>0</v>
      </c>
      <c r="E31" s="182">
        <v>655000</v>
      </c>
      <c r="F31" s="182">
        <v>350000</v>
      </c>
      <c r="G31" s="182">
        <v>370000</v>
      </c>
      <c r="H31" s="193">
        <v>350000</v>
      </c>
      <c r="I31" s="193">
        <v>220000</v>
      </c>
      <c r="J31" s="193">
        <v>210000</v>
      </c>
      <c r="K31" s="193">
        <v>170000</v>
      </c>
      <c r="L31" s="193">
        <v>190000</v>
      </c>
      <c r="M31" s="193">
        <v>110000</v>
      </c>
      <c r="N31" s="96">
        <f>SUM(B31:M31)</f>
        <v>2625000</v>
      </c>
    </row>
    <row r="32" spans="1:17" s="3" customFormat="1">
      <c r="A32" s="21" t="s">
        <v>35</v>
      </c>
      <c r="B32" s="182">
        <v>0</v>
      </c>
      <c r="C32" s="182">
        <v>0</v>
      </c>
      <c r="D32" s="182">
        <v>0</v>
      </c>
      <c r="E32" s="182">
        <v>25000</v>
      </c>
      <c r="F32" s="182">
        <v>0</v>
      </c>
      <c r="G32" s="182">
        <v>0</v>
      </c>
      <c r="H32" s="193">
        <v>0</v>
      </c>
      <c r="I32" s="193">
        <v>0</v>
      </c>
      <c r="J32" s="193">
        <v>17000</v>
      </c>
      <c r="K32" s="193">
        <v>0</v>
      </c>
      <c r="L32" s="193">
        <v>21600</v>
      </c>
      <c r="M32" s="193">
        <v>46100</v>
      </c>
      <c r="N32" s="96">
        <f t="shared" si="2"/>
        <v>109700</v>
      </c>
    </row>
    <row r="33" spans="1:14" s="3" customFormat="1">
      <c r="A33" s="16" t="s">
        <v>43</v>
      </c>
      <c r="B33" s="11">
        <f>SUM(B22:B32)</f>
        <v>102000</v>
      </c>
      <c r="C33" s="11">
        <f t="shared" ref="C33:M33" si="3">SUM(C22:C32)</f>
        <v>0</v>
      </c>
      <c r="D33" s="11">
        <f t="shared" si="3"/>
        <v>824691</v>
      </c>
      <c r="E33" s="11">
        <f t="shared" si="3"/>
        <v>1251674</v>
      </c>
      <c r="F33" s="11">
        <f t="shared" si="3"/>
        <v>1226878</v>
      </c>
      <c r="G33" s="11">
        <f t="shared" si="3"/>
        <v>670210</v>
      </c>
      <c r="H33" s="11">
        <f t="shared" si="3"/>
        <v>626244</v>
      </c>
      <c r="I33" s="11">
        <f t="shared" si="3"/>
        <v>328000</v>
      </c>
      <c r="J33" s="11">
        <f t="shared" si="3"/>
        <v>575519</v>
      </c>
      <c r="K33" s="11">
        <f t="shared" si="3"/>
        <v>471706</v>
      </c>
      <c r="L33" s="11">
        <f t="shared" si="3"/>
        <v>773592</v>
      </c>
      <c r="M33" s="11">
        <f t="shared" si="3"/>
        <v>925208</v>
      </c>
      <c r="N33" s="102">
        <f>SUM(B33:M33)</f>
        <v>7775722</v>
      </c>
    </row>
    <row r="34" spans="1:14" s="3" customFormat="1">
      <c r="A34" s="4"/>
      <c r="B34" s="13"/>
      <c r="C34" s="9"/>
      <c r="D34" s="9"/>
      <c r="E34" s="9"/>
      <c r="F34" s="13"/>
      <c r="G34" s="9"/>
      <c r="H34" s="156"/>
      <c r="I34" s="156"/>
      <c r="J34" s="156"/>
      <c r="K34" s="156"/>
      <c r="L34" s="156"/>
      <c r="M34" s="156"/>
      <c r="N34" s="96"/>
    </row>
    <row r="35" spans="1:14" s="3" customFormat="1">
      <c r="A35" s="17" t="s">
        <v>36</v>
      </c>
      <c r="B35" s="12">
        <f>B19+B33</f>
        <v>274267917.73000002</v>
      </c>
      <c r="C35" s="12">
        <f t="shared" ref="C35:M35" si="4">C19+C33</f>
        <v>214761687.48000002</v>
      </c>
      <c r="D35" s="12">
        <f t="shared" si="4"/>
        <v>109325041.48</v>
      </c>
      <c r="E35" s="12">
        <f t="shared" si="4"/>
        <v>261748197.80000001</v>
      </c>
      <c r="F35" s="12">
        <f t="shared" si="4"/>
        <v>87546721.950000003</v>
      </c>
      <c r="G35" s="12">
        <f t="shared" si="4"/>
        <v>105802068.36</v>
      </c>
      <c r="H35" s="12">
        <f t="shared" si="4"/>
        <v>310556670.87</v>
      </c>
      <c r="I35" s="12">
        <f t="shared" si="4"/>
        <v>216151068.03</v>
      </c>
      <c r="J35" s="12">
        <f t="shared" si="4"/>
        <v>362304151.00999999</v>
      </c>
      <c r="K35" s="12">
        <f t="shared" si="4"/>
        <v>219598185.37</v>
      </c>
      <c r="L35" s="12">
        <f>L19+L33</f>
        <v>104186744.98</v>
      </c>
      <c r="M35" s="12">
        <f t="shared" si="4"/>
        <v>144760708.06</v>
      </c>
      <c r="N35" s="103">
        <f>N19+N33</f>
        <v>2353179192.73</v>
      </c>
    </row>
    <row r="36" spans="1:14" s="3" customFormat="1">
      <c r="A36" s="4"/>
      <c r="B36" s="9"/>
      <c r="C36" s="9"/>
      <c r="D36" s="9"/>
      <c r="E36" s="9"/>
      <c r="F36" s="9"/>
      <c r="G36" s="9"/>
      <c r="H36" s="156"/>
      <c r="I36" s="156"/>
      <c r="J36" s="156"/>
      <c r="K36" s="156"/>
      <c r="L36" s="156"/>
      <c r="M36" s="156"/>
      <c r="N36" s="96"/>
    </row>
    <row r="37" spans="1:14">
      <c r="A37" s="14" t="s">
        <v>44</v>
      </c>
      <c r="B37" s="22"/>
      <c r="C37" s="22"/>
      <c r="D37" s="22"/>
      <c r="E37" s="22"/>
      <c r="F37" s="22"/>
      <c r="G37" s="22"/>
      <c r="H37" s="154"/>
      <c r="I37" s="154"/>
      <c r="J37" s="154"/>
      <c r="K37" s="154"/>
      <c r="L37" s="154"/>
      <c r="M37" s="154"/>
      <c r="N37" s="96"/>
    </row>
    <row r="38" spans="1:14">
      <c r="A38" s="21" t="s">
        <v>45</v>
      </c>
      <c r="B38" s="10">
        <v>6815250</v>
      </c>
      <c r="C38" s="182">
        <v>7967350</v>
      </c>
      <c r="D38" s="182">
        <v>11808610</v>
      </c>
      <c r="E38" s="182">
        <v>8027430</v>
      </c>
      <c r="F38" s="182">
        <v>6992900</v>
      </c>
      <c r="G38" s="182">
        <v>9540106</v>
      </c>
      <c r="H38" s="193">
        <v>5046786</v>
      </c>
      <c r="I38" s="193">
        <v>10365910</v>
      </c>
      <c r="J38" s="193">
        <v>15005340</v>
      </c>
      <c r="K38" s="193">
        <v>5344050</v>
      </c>
      <c r="L38" s="193">
        <v>8974672</v>
      </c>
      <c r="M38" s="193">
        <v>4193000</v>
      </c>
      <c r="N38" s="96">
        <f t="shared" ref="N38:N75" si="5">SUM(B38:M38)</f>
        <v>100081404</v>
      </c>
    </row>
    <row r="39" spans="1:14">
      <c r="A39" s="21" t="s">
        <v>46</v>
      </c>
      <c r="B39" s="182">
        <v>0</v>
      </c>
      <c r="C39" s="182">
        <v>0</v>
      </c>
      <c r="D39" s="182">
        <v>0</v>
      </c>
      <c r="E39" s="182">
        <v>0</v>
      </c>
      <c r="F39" s="182">
        <v>900000</v>
      </c>
      <c r="G39" s="182">
        <v>1730000</v>
      </c>
      <c r="H39" s="193">
        <v>1380000</v>
      </c>
      <c r="I39" s="193">
        <v>650000</v>
      </c>
      <c r="J39" s="193">
        <v>1370000</v>
      </c>
      <c r="K39" s="193">
        <v>960000</v>
      </c>
      <c r="L39" s="193">
        <v>0</v>
      </c>
      <c r="M39" s="193">
        <v>0</v>
      </c>
      <c r="N39" s="96">
        <f t="shared" si="5"/>
        <v>6990000</v>
      </c>
    </row>
    <row r="40" spans="1:14">
      <c r="A40" s="21" t="s">
        <v>47</v>
      </c>
      <c r="B40" s="182">
        <v>455349</v>
      </c>
      <c r="C40" s="182">
        <v>533148</v>
      </c>
      <c r="D40" s="182">
        <v>362988</v>
      </c>
      <c r="E40" s="182">
        <v>572285</v>
      </c>
      <c r="F40" s="182">
        <v>306134</v>
      </c>
      <c r="G40" s="182">
        <v>263771</v>
      </c>
      <c r="H40" s="193">
        <v>813050</v>
      </c>
      <c r="I40" s="193">
        <v>427870</v>
      </c>
      <c r="J40" s="193">
        <v>622063</v>
      </c>
      <c r="K40" s="193">
        <v>426060</v>
      </c>
      <c r="L40" s="193">
        <v>278835</v>
      </c>
      <c r="M40" s="193">
        <v>394433</v>
      </c>
      <c r="N40" s="96">
        <f t="shared" si="5"/>
        <v>5455986</v>
      </c>
    </row>
    <row r="41" spans="1:14">
      <c r="A41" s="21" t="s">
        <v>48</v>
      </c>
      <c r="B41" s="182">
        <v>2830000</v>
      </c>
      <c r="C41" s="182">
        <v>2660000</v>
      </c>
      <c r="D41" s="182">
        <v>3520000</v>
      </c>
      <c r="E41" s="182">
        <v>3608000</v>
      </c>
      <c r="F41" s="182">
        <v>300000</v>
      </c>
      <c r="G41" s="182">
        <v>2090000</v>
      </c>
      <c r="H41" s="193">
        <v>8735000</v>
      </c>
      <c r="I41" s="193">
        <v>4070000</v>
      </c>
      <c r="J41" s="193">
        <v>0</v>
      </c>
      <c r="K41" s="193">
        <v>0</v>
      </c>
      <c r="L41" s="193">
        <v>0</v>
      </c>
      <c r="M41" s="193">
        <v>0</v>
      </c>
      <c r="N41" s="96">
        <f t="shared" si="5"/>
        <v>27813000</v>
      </c>
    </row>
    <row r="42" spans="1:14">
      <c r="A42" s="21" t="s">
        <v>49</v>
      </c>
      <c r="B42" s="182">
        <v>400000</v>
      </c>
      <c r="C42" s="182">
        <v>350000</v>
      </c>
      <c r="D42" s="182">
        <v>450000</v>
      </c>
      <c r="E42" s="182">
        <v>400000</v>
      </c>
      <c r="F42" s="182">
        <v>450000</v>
      </c>
      <c r="G42" s="182">
        <v>354000</v>
      </c>
      <c r="H42" s="193">
        <v>492000</v>
      </c>
      <c r="I42" s="193">
        <v>490000</v>
      </c>
      <c r="J42" s="193">
        <v>430000</v>
      </c>
      <c r="K42" s="193">
        <v>405000</v>
      </c>
      <c r="L42" s="193">
        <v>530000</v>
      </c>
      <c r="M42" s="193">
        <v>441000</v>
      </c>
      <c r="N42" s="96">
        <f t="shared" si="5"/>
        <v>5192000</v>
      </c>
    </row>
    <row r="43" spans="1:14">
      <c r="A43" s="21" t="s">
        <v>50</v>
      </c>
      <c r="B43" s="182">
        <v>0</v>
      </c>
      <c r="C43" s="182">
        <v>1267060</v>
      </c>
      <c r="D43" s="10">
        <v>0</v>
      </c>
      <c r="E43" s="182">
        <v>795820</v>
      </c>
      <c r="F43" s="182">
        <v>712000</v>
      </c>
      <c r="G43" s="182">
        <v>426160</v>
      </c>
      <c r="H43" s="193">
        <v>0</v>
      </c>
      <c r="I43" s="193">
        <v>218860</v>
      </c>
      <c r="J43" s="193">
        <v>554720</v>
      </c>
      <c r="K43" s="193">
        <v>0</v>
      </c>
      <c r="L43" s="193">
        <v>845410</v>
      </c>
      <c r="M43" s="193">
        <v>348340</v>
      </c>
      <c r="N43" s="96">
        <f t="shared" si="5"/>
        <v>5168370</v>
      </c>
    </row>
    <row r="44" spans="1:14">
      <c r="A44" s="21" t="s">
        <v>51</v>
      </c>
      <c r="B44" s="182">
        <v>7560000</v>
      </c>
      <c r="C44" s="182">
        <v>6796000</v>
      </c>
      <c r="D44" s="182">
        <v>6220000</v>
      </c>
      <c r="E44" s="182">
        <v>9720000</v>
      </c>
      <c r="F44" s="182">
        <v>7560000</v>
      </c>
      <c r="G44" s="182">
        <v>6570000</v>
      </c>
      <c r="H44" s="193">
        <v>9720000</v>
      </c>
      <c r="I44" s="193">
        <v>9140000</v>
      </c>
      <c r="J44" s="193">
        <v>4900000</v>
      </c>
      <c r="K44" s="193">
        <v>9220000</v>
      </c>
      <c r="L44" s="193">
        <v>6722500</v>
      </c>
      <c r="M44" s="193">
        <v>8720000</v>
      </c>
      <c r="N44" s="96">
        <f t="shared" si="5"/>
        <v>92848500</v>
      </c>
    </row>
    <row r="45" spans="1:14">
      <c r="A45" s="21" t="s">
        <v>52</v>
      </c>
      <c r="B45" s="182">
        <v>50000</v>
      </c>
      <c r="C45" s="182">
        <v>50000</v>
      </c>
      <c r="D45" s="182">
        <v>228000</v>
      </c>
      <c r="E45" s="182">
        <v>50000</v>
      </c>
      <c r="F45" s="182">
        <v>100000</v>
      </c>
      <c r="G45" s="182">
        <v>50000</v>
      </c>
      <c r="H45" s="193">
        <v>100000</v>
      </c>
      <c r="I45" s="193">
        <v>100000</v>
      </c>
      <c r="J45" s="193">
        <v>260000</v>
      </c>
      <c r="K45" s="193">
        <v>0</v>
      </c>
      <c r="L45" s="193">
        <v>200000</v>
      </c>
      <c r="M45" s="193">
        <v>150000</v>
      </c>
      <c r="N45" s="96">
        <f t="shared" si="5"/>
        <v>1338000</v>
      </c>
    </row>
    <row r="46" spans="1:14">
      <c r="A46" s="21" t="s">
        <v>53</v>
      </c>
      <c r="B46" s="182">
        <v>3908100</v>
      </c>
      <c r="C46" s="182">
        <v>1045000</v>
      </c>
      <c r="D46" s="182">
        <v>1853900</v>
      </c>
      <c r="E46" s="182">
        <v>1961000</v>
      </c>
      <c r="F46" s="182">
        <v>669000</v>
      </c>
      <c r="G46" s="182">
        <v>1255200</v>
      </c>
      <c r="H46" s="193">
        <v>1187700</v>
      </c>
      <c r="I46" s="193">
        <v>413000</v>
      </c>
      <c r="J46" s="193">
        <v>1101000</v>
      </c>
      <c r="K46" s="193">
        <v>245000</v>
      </c>
      <c r="L46" s="193">
        <v>1103900</v>
      </c>
      <c r="M46" s="193">
        <v>180000</v>
      </c>
      <c r="N46" s="96">
        <f t="shared" si="5"/>
        <v>14922800</v>
      </c>
    </row>
    <row r="47" spans="1:14">
      <c r="A47" s="21" t="s">
        <v>54</v>
      </c>
      <c r="B47" s="182">
        <v>0</v>
      </c>
      <c r="C47" s="10">
        <v>0</v>
      </c>
      <c r="D47" s="182">
        <v>0</v>
      </c>
      <c r="E47" s="182">
        <v>2000000</v>
      </c>
      <c r="F47" s="182">
        <v>0</v>
      </c>
      <c r="G47" s="182">
        <v>0</v>
      </c>
      <c r="H47" s="193">
        <v>0</v>
      </c>
      <c r="I47" s="193">
        <v>0</v>
      </c>
      <c r="J47" s="193">
        <v>0</v>
      </c>
      <c r="K47" s="193">
        <v>1788000</v>
      </c>
      <c r="L47" s="193">
        <v>0</v>
      </c>
      <c r="M47" s="193">
        <v>0</v>
      </c>
      <c r="N47" s="96">
        <f t="shared" si="5"/>
        <v>3788000</v>
      </c>
    </row>
    <row r="48" spans="1:14">
      <c r="A48" s="21" t="s">
        <v>55</v>
      </c>
      <c r="B48" s="182">
        <v>3251000</v>
      </c>
      <c r="C48" s="182">
        <v>2507000</v>
      </c>
      <c r="D48" s="182">
        <v>2650000</v>
      </c>
      <c r="E48" s="182">
        <v>3418000</v>
      </c>
      <c r="F48" s="182">
        <v>2458000</v>
      </c>
      <c r="G48" s="182">
        <v>1785000</v>
      </c>
      <c r="H48" s="193">
        <v>2131000</v>
      </c>
      <c r="I48" s="193">
        <v>3055000</v>
      </c>
      <c r="J48" s="193">
        <v>2338000</v>
      </c>
      <c r="K48" s="193">
        <v>2484000</v>
      </c>
      <c r="L48" s="193">
        <v>2045000</v>
      </c>
      <c r="M48" s="193">
        <v>2226000</v>
      </c>
      <c r="N48" s="96">
        <f t="shared" si="5"/>
        <v>30348000</v>
      </c>
    </row>
    <row r="49" spans="1:14">
      <c r="A49" s="21" t="s">
        <v>56</v>
      </c>
      <c r="B49" s="182">
        <v>123000</v>
      </c>
      <c r="C49" s="182">
        <v>320000</v>
      </c>
      <c r="D49" s="182">
        <v>1945400</v>
      </c>
      <c r="E49" s="182">
        <v>725000</v>
      </c>
      <c r="F49" s="182">
        <v>166500</v>
      </c>
      <c r="G49" s="182">
        <v>-521500</v>
      </c>
      <c r="H49" s="193">
        <v>511800</v>
      </c>
      <c r="I49" s="193">
        <v>0</v>
      </c>
      <c r="J49" s="193">
        <v>0</v>
      </c>
      <c r="K49" s="193">
        <v>85000</v>
      </c>
      <c r="L49" s="193">
        <v>124000</v>
      </c>
      <c r="M49" s="193">
        <v>0</v>
      </c>
      <c r="N49" s="96">
        <f t="shared" si="5"/>
        <v>3479200</v>
      </c>
    </row>
    <row r="50" spans="1:14">
      <c r="A50" s="21" t="s">
        <v>57</v>
      </c>
      <c r="B50" s="182">
        <v>0</v>
      </c>
      <c r="C50" s="10">
        <v>0</v>
      </c>
      <c r="D50" s="10">
        <v>0</v>
      </c>
      <c r="E50" s="182">
        <v>5000000</v>
      </c>
      <c r="F50" s="182">
        <v>0</v>
      </c>
      <c r="G50" s="182">
        <v>0</v>
      </c>
      <c r="H50" s="193">
        <v>0</v>
      </c>
      <c r="I50" s="193">
        <v>0</v>
      </c>
      <c r="J50" s="193">
        <v>90200000</v>
      </c>
      <c r="K50" s="193">
        <v>22330000</v>
      </c>
      <c r="L50" s="193">
        <v>12000000</v>
      </c>
      <c r="M50" s="193">
        <v>7745000</v>
      </c>
      <c r="N50" s="96">
        <f t="shared" si="5"/>
        <v>137275000</v>
      </c>
    </row>
    <row r="51" spans="1:14">
      <c r="A51" s="21" t="s">
        <v>58</v>
      </c>
      <c r="B51" s="182">
        <v>7320000</v>
      </c>
      <c r="C51" s="182">
        <v>7866000</v>
      </c>
      <c r="D51" s="182">
        <v>5630000</v>
      </c>
      <c r="E51" s="182">
        <v>750000</v>
      </c>
      <c r="F51" s="182">
        <v>0</v>
      </c>
      <c r="G51" s="182">
        <v>500000</v>
      </c>
      <c r="H51" s="193">
        <v>0</v>
      </c>
      <c r="I51" s="193">
        <v>3000000</v>
      </c>
      <c r="J51" s="193">
        <v>1500000</v>
      </c>
      <c r="K51" s="193">
        <v>3000000</v>
      </c>
      <c r="L51" s="193">
        <v>0</v>
      </c>
      <c r="M51" s="193">
        <v>500000</v>
      </c>
      <c r="N51" s="96">
        <f t="shared" si="5"/>
        <v>30066000</v>
      </c>
    </row>
    <row r="52" spans="1:14">
      <c r="A52" s="21" t="s">
        <v>59</v>
      </c>
      <c r="B52" s="182">
        <v>2529775</v>
      </c>
      <c r="C52" s="182">
        <v>1208000</v>
      </c>
      <c r="D52" s="182">
        <v>3891350</v>
      </c>
      <c r="E52" s="182">
        <v>1807250</v>
      </c>
      <c r="F52" s="182">
        <v>635000</v>
      </c>
      <c r="G52" s="182">
        <v>269000</v>
      </c>
      <c r="H52" s="193">
        <v>6645000</v>
      </c>
      <c r="I52" s="193">
        <v>1567475</v>
      </c>
      <c r="J52" s="193">
        <v>177375</v>
      </c>
      <c r="K52" s="193">
        <v>873100</v>
      </c>
      <c r="L52" s="193">
        <v>156500</v>
      </c>
      <c r="M52" s="193">
        <v>425000</v>
      </c>
      <c r="N52" s="96">
        <f t="shared" si="5"/>
        <v>20184825</v>
      </c>
    </row>
    <row r="53" spans="1:14">
      <c r="A53" s="21" t="s">
        <v>120</v>
      </c>
      <c r="B53" s="182">
        <v>8315850</v>
      </c>
      <c r="C53" s="182">
        <v>2456000</v>
      </c>
      <c r="D53" s="182">
        <v>2741000</v>
      </c>
      <c r="E53" s="182">
        <v>3516250</v>
      </c>
      <c r="F53" s="182">
        <v>5327750</v>
      </c>
      <c r="G53" s="182">
        <v>3632000</v>
      </c>
      <c r="H53" s="193">
        <v>21000300</v>
      </c>
      <c r="I53" s="193">
        <v>8320200</v>
      </c>
      <c r="J53" s="193">
        <v>56813800</v>
      </c>
      <c r="K53" s="193">
        <v>5175725</v>
      </c>
      <c r="L53" s="193">
        <v>8310500</v>
      </c>
      <c r="M53" s="193">
        <v>10552000</v>
      </c>
      <c r="N53" s="96">
        <f t="shared" si="5"/>
        <v>136161375</v>
      </c>
    </row>
    <row r="54" spans="1:14">
      <c r="A54" s="21" t="s">
        <v>60</v>
      </c>
      <c r="B54" s="182">
        <v>0</v>
      </c>
      <c r="C54" s="182">
        <v>101050</v>
      </c>
      <c r="D54" s="10">
        <v>0</v>
      </c>
      <c r="E54" s="182">
        <v>1500000</v>
      </c>
      <c r="F54" s="182">
        <v>0</v>
      </c>
      <c r="G54" s="182">
        <v>0</v>
      </c>
      <c r="H54" s="193">
        <v>0</v>
      </c>
      <c r="I54" s="193">
        <v>500000</v>
      </c>
      <c r="J54" s="193">
        <v>0</v>
      </c>
      <c r="K54" s="193">
        <v>0</v>
      </c>
      <c r="L54" s="193">
        <v>0</v>
      </c>
      <c r="M54" s="193">
        <v>0</v>
      </c>
      <c r="N54" s="96">
        <f t="shared" si="5"/>
        <v>2101050</v>
      </c>
    </row>
    <row r="55" spans="1:14">
      <c r="A55" s="21" t="s">
        <v>61</v>
      </c>
      <c r="B55" s="182">
        <v>0</v>
      </c>
      <c r="C55" s="182">
        <v>0</v>
      </c>
      <c r="D55" s="10">
        <v>0</v>
      </c>
      <c r="E55" s="182">
        <v>0</v>
      </c>
      <c r="F55" s="182">
        <v>0</v>
      </c>
      <c r="G55" s="182">
        <v>0</v>
      </c>
      <c r="H55" s="193">
        <v>0</v>
      </c>
      <c r="I55" s="193">
        <v>0</v>
      </c>
      <c r="J55" s="193">
        <v>0</v>
      </c>
      <c r="K55" s="193">
        <v>0</v>
      </c>
      <c r="L55" s="193">
        <v>0</v>
      </c>
      <c r="M55" s="193">
        <v>0</v>
      </c>
      <c r="N55" s="96">
        <f t="shared" si="5"/>
        <v>0</v>
      </c>
    </row>
    <row r="56" spans="1:14">
      <c r="A56" s="21" t="s">
        <v>62</v>
      </c>
      <c r="B56" s="182">
        <v>0</v>
      </c>
      <c r="C56" s="182">
        <v>97400</v>
      </c>
      <c r="D56" s="182">
        <v>944100</v>
      </c>
      <c r="E56" s="182">
        <v>0</v>
      </c>
      <c r="F56" s="182">
        <v>388000</v>
      </c>
      <c r="G56" s="182">
        <v>-95000</v>
      </c>
      <c r="H56" s="193">
        <v>486300</v>
      </c>
      <c r="I56" s="193">
        <v>1390500</v>
      </c>
      <c r="J56" s="193">
        <v>30000</v>
      </c>
      <c r="K56" s="193">
        <v>0</v>
      </c>
      <c r="L56" s="193">
        <v>117450</v>
      </c>
      <c r="M56" s="193">
        <v>661670</v>
      </c>
      <c r="N56" s="96">
        <f t="shared" si="5"/>
        <v>4020420</v>
      </c>
    </row>
    <row r="57" spans="1:14">
      <c r="A57" s="21" t="s">
        <v>63</v>
      </c>
      <c r="B57" s="182">
        <v>300000</v>
      </c>
      <c r="C57" s="182">
        <v>300000</v>
      </c>
      <c r="D57" s="182">
        <v>180000</v>
      </c>
      <c r="E57" s="182">
        <v>0</v>
      </c>
      <c r="F57" s="182">
        <v>0</v>
      </c>
      <c r="G57" s="182">
        <v>375000</v>
      </c>
      <c r="H57" s="193">
        <v>0</v>
      </c>
      <c r="I57" s="193">
        <v>350000</v>
      </c>
      <c r="J57" s="193">
        <v>0</v>
      </c>
      <c r="K57" s="193">
        <v>350000</v>
      </c>
      <c r="L57" s="193">
        <v>350000</v>
      </c>
      <c r="M57" s="193">
        <v>350000</v>
      </c>
      <c r="N57" s="96">
        <f t="shared" si="5"/>
        <v>2555000</v>
      </c>
    </row>
    <row r="58" spans="1:14">
      <c r="A58" s="21" t="s">
        <v>64</v>
      </c>
      <c r="B58" s="182">
        <v>1540000</v>
      </c>
      <c r="C58" s="182">
        <v>2799600</v>
      </c>
      <c r="D58" s="182">
        <v>1886100</v>
      </c>
      <c r="E58" s="182">
        <v>2587400</v>
      </c>
      <c r="F58" s="182">
        <v>883600</v>
      </c>
      <c r="G58" s="182">
        <v>0</v>
      </c>
      <c r="H58" s="193">
        <v>1148500</v>
      </c>
      <c r="I58" s="193">
        <v>5466700</v>
      </c>
      <c r="J58" s="193">
        <v>0</v>
      </c>
      <c r="K58" s="193">
        <v>333000</v>
      </c>
      <c r="L58" s="193">
        <v>4930000</v>
      </c>
      <c r="M58" s="193">
        <v>654000</v>
      </c>
      <c r="N58" s="96">
        <f t="shared" si="5"/>
        <v>22228900</v>
      </c>
    </row>
    <row r="59" spans="1:14">
      <c r="A59" s="21" t="s">
        <v>65</v>
      </c>
      <c r="B59" s="182">
        <v>0</v>
      </c>
      <c r="C59" s="182">
        <v>0</v>
      </c>
      <c r="D59" s="182">
        <v>1154720</v>
      </c>
      <c r="E59" s="182">
        <v>0</v>
      </c>
      <c r="F59" s="182">
        <v>20000</v>
      </c>
      <c r="G59" s="182">
        <v>1400000</v>
      </c>
      <c r="H59" s="193">
        <v>1720000</v>
      </c>
      <c r="I59" s="193">
        <v>1512088</v>
      </c>
      <c r="J59" s="193">
        <v>0</v>
      </c>
      <c r="K59" s="193">
        <v>0</v>
      </c>
      <c r="L59" s="193">
        <v>0</v>
      </c>
      <c r="M59" s="193">
        <v>0</v>
      </c>
      <c r="N59" s="96">
        <f t="shared" si="5"/>
        <v>5806808</v>
      </c>
    </row>
    <row r="60" spans="1:14">
      <c r="A60" s="21" t="s">
        <v>66</v>
      </c>
      <c r="B60" s="182">
        <v>1207000</v>
      </c>
      <c r="C60" s="182">
        <v>1200000</v>
      </c>
      <c r="D60" s="182">
        <v>200000</v>
      </c>
      <c r="E60" s="182">
        <v>0</v>
      </c>
      <c r="F60" s="182">
        <v>4570000</v>
      </c>
      <c r="G60" s="182">
        <v>25200000</v>
      </c>
      <c r="H60" s="193">
        <v>2000000</v>
      </c>
      <c r="I60" s="193">
        <v>320000</v>
      </c>
      <c r="J60" s="193">
        <v>840000</v>
      </c>
      <c r="K60" s="193">
        <v>2200000</v>
      </c>
      <c r="L60" s="193">
        <v>1900000</v>
      </c>
      <c r="M60" s="193">
        <v>5540000</v>
      </c>
      <c r="N60" s="96">
        <f t="shared" si="5"/>
        <v>45177000</v>
      </c>
    </row>
    <row r="61" spans="1:14">
      <c r="A61" s="21" t="s">
        <v>67</v>
      </c>
      <c r="B61" s="182">
        <v>1700000</v>
      </c>
      <c r="C61" s="182">
        <v>0</v>
      </c>
      <c r="D61" s="182">
        <v>230000</v>
      </c>
      <c r="E61" s="182">
        <v>1130000</v>
      </c>
      <c r="F61" s="182">
        <v>0</v>
      </c>
      <c r="G61" s="182">
        <v>650000</v>
      </c>
      <c r="H61" s="193">
        <v>0</v>
      </c>
      <c r="I61" s="193">
        <v>7950000</v>
      </c>
      <c r="J61" s="193">
        <v>0</v>
      </c>
      <c r="K61" s="193">
        <v>1310000</v>
      </c>
      <c r="L61" s="193">
        <v>1440000</v>
      </c>
      <c r="M61" s="193">
        <v>0</v>
      </c>
      <c r="N61" s="96">
        <f t="shared" si="5"/>
        <v>14410000</v>
      </c>
    </row>
    <row r="62" spans="1:14">
      <c r="A62" s="21" t="s">
        <v>68</v>
      </c>
      <c r="B62" s="182">
        <v>2099160</v>
      </c>
      <c r="C62" s="182">
        <v>972970</v>
      </c>
      <c r="D62" s="182">
        <v>2264050</v>
      </c>
      <c r="E62" s="182">
        <v>32258900</v>
      </c>
      <c r="F62" s="182">
        <v>3020900</v>
      </c>
      <c r="G62" s="182">
        <v>0</v>
      </c>
      <c r="H62" s="193">
        <v>0</v>
      </c>
      <c r="I62" s="193">
        <v>429900</v>
      </c>
      <c r="J62" s="193">
        <v>5127800</v>
      </c>
      <c r="K62" s="193">
        <v>3624760</v>
      </c>
      <c r="L62" s="193">
        <v>3685200</v>
      </c>
      <c r="M62" s="193">
        <v>6938860</v>
      </c>
      <c r="N62" s="96">
        <f t="shared" si="5"/>
        <v>60422500</v>
      </c>
    </row>
    <row r="63" spans="1:14">
      <c r="A63" s="21" t="s">
        <v>69</v>
      </c>
      <c r="B63" s="182">
        <v>791500</v>
      </c>
      <c r="C63" s="182">
        <v>1951750</v>
      </c>
      <c r="D63" s="10">
        <v>0</v>
      </c>
      <c r="E63" s="182">
        <v>290200</v>
      </c>
      <c r="F63" s="182">
        <v>0</v>
      </c>
      <c r="G63" s="182">
        <v>1766200</v>
      </c>
      <c r="H63" s="193">
        <v>12031300</v>
      </c>
      <c r="I63" s="193">
        <v>1230900</v>
      </c>
      <c r="J63" s="193">
        <v>0</v>
      </c>
      <c r="K63" s="193">
        <v>0</v>
      </c>
      <c r="L63" s="193">
        <v>0</v>
      </c>
      <c r="M63" s="193">
        <v>0</v>
      </c>
      <c r="N63" s="96">
        <f t="shared" si="5"/>
        <v>18061850</v>
      </c>
    </row>
    <row r="64" spans="1:14">
      <c r="A64" s="21" t="s">
        <v>70</v>
      </c>
      <c r="B64" s="182">
        <v>0</v>
      </c>
      <c r="C64" s="182">
        <v>0</v>
      </c>
      <c r="D64" s="10">
        <v>0</v>
      </c>
      <c r="E64" s="182">
        <v>0</v>
      </c>
      <c r="F64" s="182">
        <v>0</v>
      </c>
      <c r="G64" s="182">
        <v>0</v>
      </c>
      <c r="H64" s="193">
        <v>0</v>
      </c>
      <c r="I64" s="193">
        <v>0</v>
      </c>
      <c r="J64" s="193">
        <v>0</v>
      </c>
      <c r="K64" s="193">
        <v>0</v>
      </c>
      <c r="L64" s="193">
        <v>0</v>
      </c>
      <c r="M64" s="193">
        <v>0</v>
      </c>
      <c r="N64" s="96">
        <f t="shared" si="5"/>
        <v>0</v>
      </c>
    </row>
    <row r="65" spans="1:14">
      <c r="A65" s="21" t="s">
        <v>71</v>
      </c>
      <c r="B65" s="182">
        <v>0</v>
      </c>
      <c r="C65" s="182">
        <v>0</v>
      </c>
      <c r="D65" s="10">
        <v>0</v>
      </c>
      <c r="E65" s="182">
        <v>0</v>
      </c>
      <c r="F65" s="182">
        <v>0</v>
      </c>
      <c r="G65" s="182">
        <v>0</v>
      </c>
      <c r="H65" s="193">
        <v>0</v>
      </c>
      <c r="I65" s="193">
        <v>0</v>
      </c>
      <c r="J65" s="193">
        <v>0</v>
      </c>
      <c r="K65" s="193">
        <v>0</v>
      </c>
      <c r="L65" s="193">
        <v>298040</v>
      </c>
      <c r="M65" s="193">
        <v>0</v>
      </c>
      <c r="N65" s="96">
        <f t="shared" si="5"/>
        <v>298040</v>
      </c>
    </row>
    <row r="66" spans="1:14">
      <c r="A66" s="21" t="s">
        <v>72</v>
      </c>
      <c r="B66" s="182">
        <v>0</v>
      </c>
      <c r="C66" s="182">
        <v>0</v>
      </c>
      <c r="D66" s="10">
        <v>0</v>
      </c>
      <c r="E66" s="182">
        <v>0</v>
      </c>
      <c r="F66" s="182">
        <v>825000</v>
      </c>
      <c r="G66" s="182">
        <v>300000</v>
      </c>
      <c r="H66" s="193">
        <v>10367000</v>
      </c>
      <c r="I66" s="193">
        <v>4295970</v>
      </c>
      <c r="J66" s="193">
        <v>1480040</v>
      </c>
      <c r="K66" s="193">
        <v>310020</v>
      </c>
      <c r="L66" s="193">
        <v>0</v>
      </c>
      <c r="M66" s="193">
        <v>0</v>
      </c>
      <c r="N66" s="96">
        <f t="shared" si="5"/>
        <v>17578030</v>
      </c>
    </row>
    <row r="67" spans="1:14">
      <c r="A67" s="21" t="s">
        <v>73</v>
      </c>
      <c r="B67" s="182">
        <v>3552725</v>
      </c>
      <c r="C67" s="182">
        <v>7147725</v>
      </c>
      <c r="D67" s="182">
        <v>3347725</v>
      </c>
      <c r="E67" s="182">
        <v>5600000</v>
      </c>
      <c r="F67" s="182">
        <v>7032500</v>
      </c>
      <c r="G67" s="182">
        <v>6200000</v>
      </c>
      <c r="H67" s="193">
        <v>6820480</v>
      </c>
      <c r="I67" s="193">
        <v>3430000</v>
      </c>
      <c r="J67" s="193">
        <v>13395000</v>
      </c>
      <c r="K67" s="193">
        <v>5100000</v>
      </c>
      <c r="L67" s="193">
        <v>1644000</v>
      </c>
      <c r="M67" s="193">
        <v>22420000</v>
      </c>
      <c r="N67" s="96">
        <f t="shared" si="5"/>
        <v>85690155</v>
      </c>
    </row>
    <row r="68" spans="1:14">
      <c r="A68" s="21" t="s">
        <v>74</v>
      </c>
      <c r="B68" s="182">
        <v>1717000</v>
      </c>
      <c r="C68" s="182">
        <v>912500</v>
      </c>
      <c r="D68" s="182">
        <v>3148000</v>
      </c>
      <c r="E68" s="182">
        <v>1173000</v>
      </c>
      <c r="F68" s="182">
        <v>662000</v>
      </c>
      <c r="G68" s="182">
        <v>1336000</v>
      </c>
      <c r="H68" s="193">
        <v>6945000</v>
      </c>
      <c r="I68" s="193">
        <v>1392900</v>
      </c>
      <c r="J68" s="193">
        <v>1673000</v>
      </c>
      <c r="K68" s="193">
        <v>1281000</v>
      </c>
      <c r="L68" s="193">
        <v>0</v>
      </c>
      <c r="M68" s="193">
        <v>1844000</v>
      </c>
      <c r="N68" s="96">
        <f t="shared" si="5"/>
        <v>22084400</v>
      </c>
    </row>
    <row r="69" spans="1:14">
      <c r="A69" s="21" t="s">
        <v>75</v>
      </c>
      <c r="B69" s="182">
        <v>0</v>
      </c>
      <c r="C69" s="182">
        <v>0</v>
      </c>
      <c r="D69" s="10">
        <v>0</v>
      </c>
      <c r="E69" s="182">
        <v>0</v>
      </c>
      <c r="F69" s="182">
        <v>0</v>
      </c>
      <c r="G69" s="182">
        <v>0</v>
      </c>
      <c r="H69" s="193">
        <v>0</v>
      </c>
      <c r="I69" s="193">
        <v>0</v>
      </c>
      <c r="J69" s="193">
        <v>0</v>
      </c>
      <c r="K69" s="193">
        <v>0</v>
      </c>
      <c r="L69" s="193" t="s">
        <v>175</v>
      </c>
      <c r="M69" s="193">
        <v>0</v>
      </c>
      <c r="N69" s="96">
        <f t="shared" si="5"/>
        <v>0</v>
      </c>
    </row>
    <row r="70" spans="1:14">
      <c r="A70" s="21" t="s">
        <v>76</v>
      </c>
      <c r="B70" s="182">
        <v>180000</v>
      </c>
      <c r="C70" s="182">
        <v>380000</v>
      </c>
      <c r="D70" s="182">
        <v>360000</v>
      </c>
      <c r="E70" s="182">
        <v>90000</v>
      </c>
      <c r="F70" s="182">
        <v>330000</v>
      </c>
      <c r="G70" s="182">
        <v>440000</v>
      </c>
      <c r="H70" s="193">
        <v>10727634</v>
      </c>
      <c r="I70" s="193">
        <v>365000</v>
      </c>
      <c r="J70" s="193">
        <v>0</v>
      </c>
      <c r="K70" s="193">
        <v>0</v>
      </c>
      <c r="L70" s="193">
        <v>455000</v>
      </c>
      <c r="M70" s="193">
        <v>781000</v>
      </c>
      <c r="N70" s="96">
        <f t="shared" si="5"/>
        <v>14108634</v>
      </c>
    </row>
    <row r="71" spans="1:14">
      <c r="A71" s="21" t="s">
        <v>77</v>
      </c>
      <c r="B71" s="182">
        <v>16387320</v>
      </c>
      <c r="C71" s="182">
        <v>24885910</v>
      </c>
      <c r="D71" s="182">
        <v>26859350</v>
      </c>
      <c r="E71" s="182">
        <v>35786830</v>
      </c>
      <c r="F71" s="182">
        <v>16801100</v>
      </c>
      <c r="G71" s="182">
        <v>23476000</v>
      </c>
      <c r="H71" s="193">
        <v>43535500</v>
      </c>
      <c r="I71" s="193">
        <v>21534319</v>
      </c>
      <c r="J71" s="193">
        <v>46228610</v>
      </c>
      <c r="K71" s="193">
        <v>7139000</v>
      </c>
      <c r="L71" s="193">
        <v>14358000</v>
      </c>
      <c r="M71" s="193">
        <v>47349200</v>
      </c>
      <c r="N71" s="96">
        <f t="shared" si="5"/>
        <v>324341139</v>
      </c>
    </row>
    <row r="72" spans="1:14">
      <c r="A72" s="21" t="s">
        <v>78</v>
      </c>
      <c r="B72" s="182">
        <v>978000</v>
      </c>
      <c r="C72" s="182">
        <v>10000</v>
      </c>
      <c r="D72" s="182">
        <v>0</v>
      </c>
      <c r="E72" s="182">
        <v>0</v>
      </c>
      <c r="F72" s="182">
        <v>185300</v>
      </c>
      <c r="G72" s="182">
        <v>705100</v>
      </c>
      <c r="H72" s="193">
        <v>303500</v>
      </c>
      <c r="I72" s="193">
        <v>384000</v>
      </c>
      <c r="J72" s="193">
        <v>346500</v>
      </c>
      <c r="K72" s="193">
        <v>80000</v>
      </c>
      <c r="L72" s="193">
        <v>157000</v>
      </c>
      <c r="M72" s="193">
        <v>0</v>
      </c>
      <c r="N72" s="96">
        <f t="shared" si="5"/>
        <v>3149400</v>
      </c>
    </row>
    <row r="73" spans="1:14">
      <c r="A73" s="21" t="s">
        <v>79</v>
      </c>
      <c r="B73" s="182">
        <v>3381000</v>
      </c>
      <c r="C73" s="182">
        <v>2707600</v>
      </c>
      <c r="D73" s="182">
        <v>1390000</v>
      </c>
      <c r="E73" s="182">
        <v>2069000</v>
      </c>
      <c r="F73" s="182">
        <v>397000</v>
      </c>
      <c r="G73" s="182">
        <v>730000</v>
      </c>
      <c r="H73" s="193">
        <v>2415350</v>
      </c>
      <c r="I73" s="193">
        <v>177000</v>
      </c>
      <c r="J73" s="193">
        <v>372000</v>
      </c>
      <c r="K73" s="193">
        <v>1850000</v>
      </c>
      <c r="L73" s="193">
        <v>0</v>
      </c>
      <c r="M73" s="193">
        <v>1680000</v>
      </c>
      <c r="N73" s="96">
        <f t="shared" si="5"/>
        <v>17168950</v>
      </c>
    </row>
    <row r="74" spans="1:14">
      <c r="A74" s="21" t="s">
        <v>80</v>
      </c>
      <c r="B74" s="182">
        <v>0</v>
      </c>
      <c r="C74" s="182">
        <v>1871000</v>
      </c>
      <c r="D74" s="182">
        <v>150000</v>
      </c>
      <c r="E74" s="182">
        <v>1541900</v>
      </c>
      <c r="F74" s="182">
        <v>3650000</v>
      </c>
      <c r="G74" s="182">
        <v>500000</v>
      </c>
      <c r="H74" s="193">
        <v>3421800</v>
      </c>
      <c r="I74" s="193">
        <v>749000</v>
      </c>
      <c r="J74" s="193">
        <v>6958050</v>
      </c>
      <c r="K74" s="193">
        <v>1779801</v>
      </c>
      <c r="L74" s="198">
        <v>0</v>
      </c>
      <c r="M74" s="193">
        <v>2360000</v>
      </c>
      <c r="N74" s="96">
        <f t="shared" si="5"/>
        <v>22981551</v>
      </c>
    </row>
    <row r="75" spans="1:14">
      <c r="A75" s="21" t="s">
        <v>119</v>
      </c>
      <c r="B75" s="182">
        <v>25000000</v>
      </c>
      <c r="C75" s="182">
        <v>25000000</v>
      </c>
      <c r="D75" s="182">
        <v>5000000</v>
      </c>
      <c r="E75" s="182">
        <v>0</v>
      </c>
      <c r="F75" s="182">
        <v>10000000</v>
      </c>
      <c r="G75" s="182">
        <v>0</v>
      </c>
      <c r="H75" s="193">
        <v>53240000</v>
      </c>
      <c r="I75" s="193">
        <v>20000000</v>
      </c>
      <c r="J75" s="193">
        <v>5000000</v>
      </c>
      <c r="K75" s="193">
        <v>55465000</v>
      </c>
      <c r="L75" s="193">
        <v>21000000</v>
      </c>
      <c r="M75" s="193">
        <v>0</v>
      </c>
      <c r="N75" s="96">
        <f t="shared" si="5"/>
        <v>219705000</v>
      </c>
    </row>
    <row r="76" spans="1:14" s="3" customFormat="1">
      <c r="A76" s="4"/>
      <c r="B76" s="5"/>
      <c r="C76" s="5"/>
      <c r="D76" s="5"/>
      <c r="E76" s="5"/>
      <c r="F76" s="5"/>
      <c r="G76" s="5"/>
      <c r="H76" s="158"/>
      <c r="I76" s="158"/>
      <c r="J76" s="158"/>
      <c r="K76" s="158"/>
      <c r="L76" s="158"/>
      <c r="M76" s="158"/>
      <c r="N76" s="104"/>
    </row>
    <row r="77" spans="1:14">
      <c r="A77" s="27" t="s">
        <v>81</v>
      </c>
      <c r="B77" s="28">
        <f t="shared" ref="B77:M77" si="6">ROUND(SUBTOTAL(9, B37:B76), 5)</f>
        <v>102392029</v>
      </c>
      <c r="C77" s="28">
        <f t="shared" si="6"/>
        <v>105363063</v>
      </c>
      <c r="D77" s="28">
        <f t="shared" si="6"/>
        <v>88415293</v>
      </c>
      <c r="E77" s="28">
        <f t="shared" si="6"/>
        <v>126378265</v>
      </c>
      <c r="F77" s="28">
        <f t="shared" si="6"/>
        <v>75342684</v>
      </c>
      <c r="G77" s="28">
        <f>ROUND(SUBTOTAL(9, G37:G76), 5)</f>
        <v>90927037</v>
      </c>
      <c r="H77" s="28">
        <f>ROUND(SUBTOTAL(9, H37:H76), 5)</f>
        <v>212925000</v>
      </c>
      <c r="I77" s="28">
        <f t="shared" si="6"/>
        <v>113296592</v>
      </c>
      <c r="J77" s="28">
        <f t="shared" si="6"/>
        <v>256723298</v>
      </c>
      <c r="K77" s="28">
        <f t="shared" si="6"/>
        <v>133158516</v>
      </c>
      <c r="L77" s="28">
        <f t="shared" si="6"/>
        <v>91626007</v>
      </c>
      <c r="M77" s="28">
        <f t="shared" si="6"/>
        <v>126453503</v>
      </c>
      <c r="N77" s="105">
        <f>SUM(N38:N76)</f>
        <v>1523001287</v>
      </c>
    </row>
    <row r="78" spans="1:14" s="3" customFormat="1">
      <c r="A78" s="6"/>
      <c r="B78" s="5"/>
      <c r="C78" s="5"/>
      <c r="D78" s="5"/>
      <c r="E78" s="5"/>
      <c r="F78" s="5"/>
      <c r="G78" s="5"/>
      <c r="H78" s="158"/>
      <c r="I78" s="158"/>
      <c r="J78" s="158"/>
      <c r="K78" s="158"/>
      <c r="L78" s="158"/>
      <c r="M78" s="158"/>
      <c r="N78" s="104"/>
    </row>
    <row r="79" spans="1:14">
      <c r="A79" s="29" t="s">
        <v>82</v>
      </c>
      <c r="B79" s="30">
        <f t="shared" ref="B79:M79" si="7">-(ROUND(-B35+B77, 5))</f>
        <v>171875888.72999999</v>
      </c>
      <c r="C79" s="31">
        <f t="shared" si="7"/>
        <v>109398624.48</v>
      </c>
      <c r="D79" s="31">
        <f t="shared" si="7"/>
        <v>20909748.48</v>
      </c>
      <c r="E79" s="31">
        <f t="shared" si="7"/>
        <v>135369932.80000001</v>
      </c>
      <c r="F79" s="31">
        <f t="shared" si="7"/>
        <v>12204037.949999999</v>
      </c>
      <c r="G79" s="31">
        <f t="shared" si="7"/>
        <v>14875031.359999999</v>
      </c>
      <c r="H79" s="31">
        <f t="shared" si="7"/>
        <v>97631670.870000005</v>
      </c>
      <c r="I79" s="31">
        <f>I35-I77</f>
        <v>102854476.03</v>
      </c>
      <c r="J79" s="31">
        <f t="shared" si="7"/>
        <v>105580853.01000001</v>
      </c>
      <c r="K79" s="31">
        <f t="shared" si="7"/>
        <v>86439669.370000005</v>
      </c>
      <c r="L79" s="31">
        <f t="shared" si="7"/>
        <v>12560737.98</v>
      </c>
      <c r="M79" s="31">
        <f t="shared" si="7"/>
        <v>18307205.059999999</v>
      </c>
      <c r="N79" s="106">
        <f>N35-N77</f>
        <v>830177905.73000002</v>
      </c>
    </row>
    <row r="80" spans="1:14">
      <c r="A80" s="32"/>
      <c r="B80" s="33"/>
      <c r="C80" s="24"/>
      <c r="D80" s="24"/>
      <c r="E80" s="24"/>
      <c r="F80" s="24"/>
      <c r="G80" s="24"/>
      <c r="H80" s="159"/>
      <c r="I80" s="159"/>
      <c r="J80" s="159"/>
      <c r="K80" s="159"/>
      <c r="L80" s="159"/>
      <c r="M80" s="159"/>
      <c r="N80" s="96"/>
    </row>
    <row r="81" spans="1:14">
      <c r="A81" s="14" t="s">
        <v>104</v>
      </c>
      <c r="B81" s="33"/>
      <c r="C81" s="24"/>
      <c r="D81" s="24"/>
      <c r="E81" s="24"/>
      <c r="F81" s="24"/>
      <c r="G81" s="24"/>
      <c r="H81" s="159"/>
      <c r="I81" s="155"/>
      <c r="J81" s="159"/>
      <c r="K81" s="159"/>
      <c r="L81" s="159"/>
      <c r="M81" s="159"/>
      <c r="N81" s="96"/>
    </row>
    <row r="82" spans="1:14">
      <c r="A82" s="45" t="s">
        <v>37</v>
      </c>
      <c r="B82" s="182">
        <v>-167055500</v>
      </c>
      <c r="C82" s="182">
        <v>-103477500</v>
      </c>
      <c r="D82" s="182">
        <v>-15660000</v>
      </c>
      <c r="E82" s="182">
        <v>-130072000</v>
      </c>
      <c r="F82" s="182">
        <v>-3134000</v>
      </c>
      <c r="G82" s="182">
        <v>-10062500</v>
      </c>
      <c r="H82" s="193">
        <v>-85552500</v>
      </c>
      <c r="I82" s="193">
        <v>-93052000</v>
      </c>
      <c r="J82" s="193">
        <v>-101940000</v>
      </c>
      <c r="K82" s="193">
        <v>-82500000</v>
      </c>
      <c r="L82" s="182">
        <v>-7062500</v>
      </c>
      <c r="M82" s="198">
        <v>-11062500</v>
      </c>
      <c r="N82" s="96">
        <f>SUM(B82:M82)</f>
        <v>-810631000</v>
      </c>
    </row>
    <row r="83" spans="1:14">
      <c r="A83" s="45" t="s">
        <v>87</v>
      </c>
      <c r="B83" s="42">
        <v>0</v>
      </c>
      <c r="C83" s="42">
        <v>0</v>
      </c>
      <c r="D83" s="42">
        <v>0</v>
      </c>
      <c r="E83" s="42">
        <v>0</v>
      </c>
      <c r="F83" s="42">
        <v>-6196600</v>
      </c>
      <c r="G83" s="42">
        <v>0</v>
      </c>
      <c r="H83" s="42">
        <v>0</v>
      </c>
      <c r="I83" s="42">
        <v>0</v>
      </c>
      <c r="J83" s="42">
        <v>0</v>
      </c>
      <c r="K83" s="42"/>
      <c r="L83" s="42">
        <v>0</v>
      </c>
      <c r="M83" s="42">
        <v>0</v>
      </c>
      <c r="N83" s="96">
        <f t="shared" ref="N83:N91" si="8">SUM(B83:M83)</f>
        <v>-6196600</v>
      </c>
    </row>
    <row r="84" spans="1:14">
      <c r="A84" s="22" t="s">
        <v>88</v>
      </c>
      <c r="B84" s="42">
        <v>0</v>
      </c>
      <c r="C84" s="42">
        <v>0</v>
      </c>
      <c r="D84" s="42">
        <v>-474600</v>
      </c>
      <c r="E84" s="42">
        <v>0</v>
      </c>
      <c r="F84" s="42">
        <v>0</v>
      </c>
      <c r="G84" s="42">
        <v>0</v>
      </c>
      <c r="H84" s="42">
        <v>-2730000</v>
      </c>
      <c r="I84" s="42">
        <v>-2900000</v>
      </c>
      <c r="J84" s="42">
        <v>0</v>
      </c>
      <c r="K84" s="42">
        <v>0</v>
      </c>
      <c r="L84" s="42">
        <v>0</v>
      </c>
      <c r="M84" s="42">
        <v>0</v>
      </c>
      <c r="N84" s="96">
        <f t="shared" si="8"/>
        <v>-6104600</v>
      </c>
    </row>
    <row r="85" spans="1:14">
      <c r="A85" s="22" t="s">
        <v>38</v>
      </c>
      <c r="B85" s="42">
        <v>0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42">
        <v>0</v>
      </c>
      <c r="J85" s="42">
        <v>0</v>
      </c>
      <c r="K85" s="42">
        <v>0</v>
      </c>
      <c r="L85" s="42">
        <v>0</v>
      </c>
      <c r="M85" s="42">
        <v>0</v>
      </c>
      <c r="N85" s="96">
        <f t="shared" si="8"/>
        <v>0</v>
      </c>
    </row>
    <row r="86" spans="1:14">
      <c r="A86" s="107" t="s">
        <v>133</v>
      </c>
      <c r="B86" s="42">
        <v>0</v>
      </c>
      <c r="C86" s="42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>
        <v>0</v>
      </c>
      <c r="N86" s="96">
        <f t="shared" si="8"/>
        <v>0</v>
      </c>
    </row>
    <row r="87" spans="1:14">
      <c r="A87" s="107" t="s">
        <v>121</v>
      </c>
      <c r="B87" s="42">
        <v>0</v>
      </c>
      <c r="C87" s="42">
        <v>0</v>
      </c>
      <c r="D87" s="42">
        <v>531511.91</v>
      </c>
      <c r="E87" s="42">
        <v>0</v>
      </c>
      <c r="F87" s="42">
        <v>0</v>
      </c>
      <c r="G87" s="42">
        <v>0</v>
      </c>
      <c r="H87" s="42">
        <v>0</v>
      </c>
      <c r="I87" s="42">
        <v>10734.8</v>
      </c>
      <c r="J87" s="42">
        <v>0</v>
      </c>
      <c r="K87" s="42">
        <v>0</v>
      </c>
      <c r="L87" s="42">
        <v>0</v>
      </c>
      <c r="M87" s="42">
        <v>0</v>
      </c>
      <c r="N87" s="96">
        <v>0</v>
      </c>
    </row>
    <row r="88" spans="1:14">
      <c r="A88" s="107" t="s">
        <v>176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37750.519999999997</v>
      </c>
      <c r="M88" s="42">
        <v>0</v>
      </c>
      <c r="N88" s="96">
        <v>0</v>
      </c>
    </row>
    <row r="89" spans="1:14">
      <c r="A89" s="107" t="s">
        <v>167</v>
      </c>
      <c r="B89" s="42">
        <v>0</v>
      </c>
      <c r="C89" s="42">
        <v>0</v>
      </c>
      <c r="D89" s="42">
        <v>0</v>
      </c>
      <c r="E89" s="42">
        <v>0</v>
      </c>
      <c r="F89" s="42">
        <v>0</v>
      </c>
      <c r="G89" s="42">
        <v>55802.64</v>
      </c>
      <c r="H89" s="42">
        <v>0</v>
      </c>
      <c r="I89" s="42">
        <v>0</v>
      </c>
      <c r="J89" s="42">
        <v>0</v>
      </c>
      <c r="K89" s="42">
        <v>0</v>
      </c>
      <c r="L89" s="42">
        <v>0</v>
      </c>
      <c r="M89" s="42">
        <v>0</v>
      </c>
      <c r="N89" s="96">
        <v>0</v>
      </c>
    </row>
    <row r="90" spans="1:14">
      <c r="A90" s="107" t="s">
        <v>165</v>
      </c>
      <c r="B90" s="42">
        <v>0</v>
      </c>
      <c r="C90" s="42">
        <v>0</v>
      </c>
      <c r="D90" s="42">
        <v>0</v>
      </c>
      <c r="E90" s="42">
        <v>0</v>
      </c>
      <c r="F90" s="42">
        <v>55305.81</v>
      </c>
      <c r="G90" s="42">
        <v>-55305</v>
      </c>
      <c r="H90" s="42">
        <v>33867.71</v>
      </c>
      <c r="I90" s="42">
        <v>20064.400000000001</v>
      </c>
      <c r="J90" s="42">
        <v>0</v>
      </c>
      <c r="K90" s="42">
        <v>0</v>
      </c>
      <c r="L90" s="42">
        <v>0</v>
      </c>
      <c r="M90" s="42">
        <v>0</v>
      </c>
      <c r="N90" s="96">
        <v>0</v>
      </c>
    </row>
    <row r="91" spans="1:14">
      <c r="A91" s="107" t="s">
        <v>166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96">
        <f t="shared" si="8"/>
        <v>0</v>
      </c>
    </row>
    <row r="92" spans="1:14">
      <c r="A92" s="107" t="s">
        <v>170</v>
      </c>
      <c r="B92" s="42">
        <v>0</v>
      </c>
      <c r="C92" s="42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868.88</v>
      </c>
      <c r="K92" s="42">
        <v>0</v>
      </c>
      <c r="L92" s="42">
        <v>0</v>
      </c>
      <c r="M92" s="42">
        <v>0</v>
      </c>
      <c r="N92" s="96">
        <v>0</v>
      </c>
    </row>
    <row r="93" spans="1:14">
      <c r="A93" s="107" t="s">
        <v>171</v>
      </c>
      <c r="B93" s="42">
        <v>0</v>
      </c>
      <c r="C93" s="42">
        <v>0</v>
      </c>
      <c r="D93" s="42">
        <v>0</v>
      </c>
      <c r="E93" s="42">
        <v>0</v>
      </c>
      <c r="F93" s="42">
        <v>0</v>
      </c>
      <c r="G93" s="42">
        <v>0</v>
      </c>
      <c r="H93" s="42">
        <v>0</v>
      </c>
      <c r="I93" s="42">
        <v>0</v>
      </c>
      <c r="J93" s="42">
        <v>10734.8</v>
      </c>
      <c r="K93" s="42">
        <v>10734.8</v>
      </c>
      <c r="L93" s="42">
        <v>22452.63</v>
      </c>
      <c r="M93" s="42">
        <v>0</v>
      </c>
      <c r="N93" s="96">
        <v>0</v>
      </c>
    </row>
    <row r="94" spans="1:14">
      <c r="A94" s="128" t="s">
        <v>172</v>
      </c>
      <c r="B94" s="183">
        <v>5044</v>
      </c>
      <c r="C94" s="42">
        <v>0</v>
      </c>
      <c r="D94" s="183">
        <v>0</v>
      </c>
      <c r="E94" s="155">
        <v>0</v>
      </c>
      <c r="F94" s="183">
        <v>0</v>
      </c>
      <c r="G94" s="183">
        <v>68422.899999999994</v>
      </c>
      <c r="H94" s="155">
        <v>0</v>
      </c>
      <c r="I94" s="155">
        <v>0</v>
      </c>
      <c r="J94" s="183">
        <v>2422.85</v>
      </c>
      <c r="K94" s="183">
        <v>1817.35</v>
      </c>
      <c r="L94" s="155">
        <v>0</v>
      </c>
      <c r="M94" s="155">
        <v>0</v>
      </c>
      <c r="N94" s="96">
        <v>0</v>
      </c>
    </row>
    <row r="95" spans="1:14">
      <c r="A95" s="36"/>
      <c r="B95" s="165"/>
      <c r="C95" s="165"/>
      <c r="D95" s="167"/>
      <c r="E95" s="167"/>
      <c r="F95" s="165"/>
      <c r="G95" s="165"/>
      <c r="H95" s="165"/>
      <c r="I95" s="165"/>
      <c r="J95" s="167"/>
      <c r="K95" s="167"/>
      <c r="L95" s="165"/>
      <c r="M95" s="165"/>
      <c r="N95" s="169"/>
    </row>
    <row r="96" spans="1:14">
      <c r="A96" s="32" t="s">
        <v>105</v>
      </c>
      <c r="B96" s="37">
        <f>B82+B83+B84+B86</f>
        <v>-167055500</v>
      </c>
      <c r="C96" s="35">
        <f>C82+C83+C84+C86</f>
        <v>-103477500</v>
      </c>
      <c r="D96" s="187">
        <v>-15603088.09</v>
      </c>
      <c r="E96" s="35">
        <f>E82+E83+E84+E86+E85</f>
        <v>-130072000</v>
      </c>
      <c r="F96" s="35">
        <f>F82+F83+F84+F86+F85</f>
        <v>-9330600</v>
      </c>
      <c r="G96" s="35">
        <f>G82+G83+G84+G86+G85</f>
        <v>-10062500</v>
      </c>
      <c r="H96" s="35">
        <f>H82+H83+H84+H86+H85</f>
        <v>-88282500</v>
      </c>
      <c r="I96" s="35">
        <f>I82+I83+I84+I86+I85+I94+I87+I90</f>
        <v>-95921200.799999997</v>
      </c>
      <c r="J96" s="35">
        <f>J82+J83+J84+J86+J85+J94+J92+J93</f>
        <v>-101925973.47000001</v>
      </c>
      <c r="K96" s="35">
        <f>K82+K83+K84+K86+K85+K94+K93</f>
        <v>-82487447.850000009</v>
      </c>
      <c r="L96" s="35">
        <f>L82+L83+L84+L86+L85+L94+L93+L88</f>
        <v>-7002296.8500000006</v>
      </c>
      <c r="M96" s="209">
        <v>-11062500</v>
      </c>
      <c r="N96" s="97">
        <f>SUM(N82:N95)</f>
        <v>-822932200</v>
      </c>
    </row>
    <row r="97" spans="1:14">
      <c r="A97" s="21"/>
      <c r="B97" s="34"/>
      <c r="C97" s="24"/>
      <c r="D97" s="24"/>
      <c r="E97" s="24"/>
      <c r="F97" s="24"/>
      <c r="G97" s="24"/>
      <c r="H97" s="159"/>
      <c r="I97" s="159"/>
      <c r="J97" s="159"/>
      <c r="K97" s="159"/>
      <c r="L97" s="159"/>
      <c r="M97" s="159"/>
      <c r="N97" s="96"/>
    </row>
    <row r="98" spans="1:14" ht="16.3" thickBot="1">
      <c r="A98" s="38" t="s">
        <v>106</v>
      </c>
      <c r="B98" s="39">
        <f>B79+B96</f>
        <v>4820388.7299999893</v>
      </c>
      <c r="C98" s="40">
        <f>C79+C96</f>
        <v>5921124.4800000042</v>
      </c>
      <c r="D98" s="40">
        <f>D79+D96</f>
        <v>5306660.3900000006</v>
      </c>
      <c r="E98" s="40">
        <f>E79+E96</f>
        <v>5297932.8000000119</v>
      </c>
      <c r="F98" s="40">
        <f>F79+F96</f>
        <v>2873437.9499999993</v>
      </c>
      <c r="G98" s="40">
        <v>4881451.9000000004</v>
      </c>
      <c r="H98" s="40">
        <f t="shared" ref="H98:M98" si="9">H79+H96</f>
        <v>9349170.8700000048</v>
      </c>
      <c r="I98" s="40">
        <f t="shared" si="9"/>
        <v>6933275.2300000042</v>
      </c>
      <c r="J98" s="40">
        <f t="shared" si="9"/>
        <v>3654879.5399999917</v>
      </c>
      <c r="K98" s="40">
        <f t="shared" si="9"/>
        <v>3952221.5199999958</v>
      </c>
      <c r="L98" s="40">
        <f>L79+L96</f>
        <v>5558441.1299999999</v>
      </c>
      <c r="M98" s="40">
        <f t="shared" si="9"/>
        <v>7244705.0599999987</v>
      </c>
      <c r="N98" s="108">
        <f>N79+N96</f>
        <v>7245705.7300000191</v>
      </c>
    </row>
    <row r="99" spans="1:14" s="3" customFormat="1" ht="16.75" thickTop="1" thickBot="1">
      <c r="A99" s="7"/>
      <c r="B99" s="8"/>
      <c r="C99" s="8"/>
      <c r="D99" s="8"/>
      <c r="E99" s="8"/>
      <c r="F99" s="8"/>
      <c r="G99" s="8"/>
      <c r="H99" s="98"/>
      <c r="I99" s="98"/>
      <c r="J99" s="98"/>
      <c r="K99" s="98"/>
      <c r="L99" s="98"/>
      <c r="M99" s="98"/>
      <c r="N99" s="44"/>
    </row>
    <row r="100" spans="1:14">
      <c r="N100" s="20"/>
    </row>
    <row r="101" spans="1:14">
      <c r="C101" s="46"/>
      <c r="N101" s="49"/>
    </row>
    <row r="102" spans="1:14">
      <c r="N102" s="20"/>
    </row>
    <row r="103" spans="1:14">
      <c r="N103" s="20"/>
    </row>
    <row r="104" spans="1:14">
      <c r="C104" s="20">
        <v>181707854</v>
      </c>
      <c r="N104" s="20"/>
    </row>
    <row r="105" spans="1:14">
      <c r="C105" s="20">
        <v>173184384</v>
      </c>
      <c r="N105" s="20"/>
    </row>
    <row r="106" spans="1:14">
      <c r="C106" s="20">
        <f>C104-C105</f>
        <v>8523470</v>
      </c>
      <c r="N106" s="20"/>
    </row>
    <row r="107" spans="1:14">
      <c r="N107" s="20"/>
    </row>
    <row r="108" spans="1:14">
      <c r="D108" s="20">
        <v>-31009712.460000001</v>
      </c>
      <c r="N108" s="20"/>
    </row>
    <row r="109" spans="1:14">
      <c r="N109" s="20"/>
    </row>
    <row r="110" spans="1:14">
      <c r="N110" s="20"/>
    </row>
    <row r="111" spans="1:14">
      <c r="F111" s="28">
        <f>ROUND(SUBTOTAL(9, F64:F110), 5)</f>
        <v>36354481.710000001</v>
      </c>
      <c r="N111" s="20"/>
    </row>
    <row r="112" spans="1:14">
      <c r="N112" s="20"/>
    </row>
    <row r="113" spans="14:14">
      <c r="N113" s="20"/>
    </row>
    <row r="114" spans="14:14">
      <c r="N114" s="20"/>
    </row>
    <row r="115" spans="14:14">
      <c r="N115" s="20"/>
    </row>
    <row r="116" spans="14:14">
      <c r="N116" s="20"/>
    </row>
    <row r="117" spans="14:14">
      <c r="N117" s="20"/>
    </row>
  </sheetData>
  <phoneticPr fontId="28" type="noConversion"/>
  <printOptions horizontalCentered="1"/>
  <pageMargins left="0.70866141732283472" right="0.70866141732283472" top="0.74803149606299213" bottom="0" header="0.31496062992125984" footer="0.31496062992125984"/>
  <pageSetup scale="34" fitToHeight="0" orientation="landscape" r:id="rId1"/>
  <rowBreaks count="1" manualBreakCount="1">
    <brk id="63" max="7" man="1"/>
  </rowBreaks>
  <colBreaks count="1" manualBreakCount="1">
    <brk id="9" max="8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BCB9-8D01-4594-AC28-8E34D6C27626}">
  <sheetPr>
    <pageSetUpPr fitToPage="1"/>
  </sheetPr>
  <dimension ref="A1:D95"/>
  <sheetViews>
    <sheetView tabSelected="1" topLeftCell="A6" workbookViewId="0">
      <selection activeCell="C6" sqref="C6:C20"/>
    </sheetView>
  </sheetViews>
  <sheetFormatPr defaultColWidth="9.15234375" defaultRowHeight="15.9"/>
  <cols>
    <col min="1" max="1" width="38" style="20" customWidth="1"/>
    <col min="2" max="3" width="21.69140625" style="20" customWidth="1"/>
    <col min="4" max="4" width="20.3046875" style="23" customWidth="1"/>
    <col min="5" max="16384" width="9.152343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45688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107</v>
      </c>
      <c r="D5" s="99" t="s">
        <v>130</v>
      </c>
    </row>
    <row r="6" spans="1:4">
      <c r="A6" s="116" t="s">
        <v>39</v>
      </c>
      <c r="B6" s="41"/>
      <c r="C6" s="41"/>
      <c r="D6" s="117">
        <f>B6+C6</f>
        <v>0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1"/>
      <c r="C8" s="111"/>
      <c r="D8" s="117">
        <f t="shared" ref="D8:D21" si="0">B8+C8</f>
        <v>0</v>
      </c>
    </row>
    <row r="9" spans="1:4">
      <c r="A9" s="116" t="s">
        <v>10</v>
      </c>
      <c r="B9" s="42"/>
      <c r="C9" s="111"/>
      <c r="D9" s="117">
        <f t="shared" si="0"/>
        <v>0</v>
      </c>
    </row>
    <row r="10" spans="1:4">
      <c r="A10" s="116" t="s">
        <v>11</v>
      </c>
      <c r="B10" s="42"/>
      <c r="C10" s="111"/>
      <c r="D10" s="117">
        <f t="shared" si="0"/>
        <v>0</v>
      </c>
    </row>
    <row r="11" spans="1:4">
      <c r="A11" s="116" t="s">
        <v>12</v>
      </c>
      <c r="B11" s="42"/>
      <c r="C11" s="111"/>
      <c r="D11" s="117">
        <f t="shared" si="0"/>
        <v>0</v>
      </c>
    </row>
    <row r="12" spans="1:4">
      <c r="A12" s="116" t="s">
        <v>14</v>
      </c>
      <c r="B12" s="42"/>
      <c r="C12" s="111"/>
      <c r="D12" s="117">
        <f t="shared" si="0"/>
        <v>0</v>
      </c>
    </row>
    <row r="13" spans="1:4">
      <c r="A13" s="116" t="s">
        <v>132</v>
      </c>
      <c r="B13" s="42"/>
      <c r="C13" s="111"/>
      <c r="D13" s="117">
        <f t="shared" si="0"/>
        <v>0</v>
      </c>
    </row>
    <row r="14" spans="1:4">
      <c r="A14" s="116" t="s">
        <v>15</v>
      </c>
      <c r="B14" s="42"/>
      <c r="C14" s="111"/>
      <c r="D14" s="117">
        <f t="shared" si="0"/>
        <v>0</v>
      </c>
    </row>
    <row r="15" spans="1:4">
      <c r="A15" s="116" t="s">
        <v>16</v>
      </c>
      <c r="B15" s="42"/>
      <c r="C15" s="111"/>
      <c r="D15" s="117">
        <f t="shared" si="0"/>
        <v>0</v>
      </c>
    </row>
    <row r="16" spans="1:4">
      <c r="A16" s="116" t="s">
        <v>17</v>
      </c>
      <c r="B16" s="42"/>
      <c r="C16" s="111"/>
      <c r="D16" s="117">
        <f t="shared" si="0"/>
        <v>0</v>
      </c>
    </row>
    <row r="17" spans="1:4">
      <c r="A17" s="116" t="s">
        <v>21</v>
      </c>
      <c r="B17" s="42"/>
      <c r="C17" s="111"/>
      <c r="D17" s="117">
        <f t="shared" si="0"/>
        <v>0</v>
      </c>
    </row>
    <row r="18" spans="1:4">
      <c r="A18" s="116" t="s">
        <v>22</v>
      </c>
      <c r="B18" s="42"/>
      <c r="C18" s="111"/>
      <c r="D18" s="117">
        <f t="shared" si="0"/>
        <v>0</v>
      </c>
    </row>
    <row r="19" spans="1:4">
      <c r="A19" s="116" t="s">
        <v>23</v>
      </c>
      <c r="B19" s="42"/>
      <c r="C19" s="111"/>
      <c r="D19" s="117">
        <f t="shared" si="0"/>
        <v>0</v>
      </c>
    </row>
    <row r="20" spans="1:4">
      <c r="A20" s="116" t="s">
        <v>24</v>
      </c>
      <c r="B20" s="42"/>
      <c r="C20" s="111"/>
      <c r="D20" s="117">
        <f t="shared" si="0"/>
        <v>0</v>
      </c>
    </row>
    <row r="21" spans="1:4">
      <c r="A21" s="16" t="s">
        <v>41</v>
      </c>
      <c r="B21" s="112">
        <f>SUM(B6:B15)</f>
        <v>0</v>
      </c>
      <c r="C21" s="112">
        <f>SUM(C6:C20)</f>
        <v>0</v>
      </c>
      <c r="D21" s="118">
        <f t="shared" si="0"/>
        <v>0</v>
      </c>
    </row>
    <row r="22" spans="1:4" s="3" customFormat="1">
      <c r="A22" s="4"/>
      <c r="B22" s="9"/>
      <c r="C22" s="9"/>
      <c r="D22" s="119"/>
    </row>
    <row r="23" spans="1:4" s="3" customFormat="1">
      <c r="A23" s="14" t="s">
        <v>42</v>
      </c>
      <c r="B23" s="9"/>
      <c r="C23" s="9"/>
      <c r="D23" s="119"/>
    </row>
    <row r="24" spans="1:4" s="3" customFormat="1">
      <c r="A24" s="120" t="s">
        <v>18</v>
      </c>
      <c r="B24" s="113"/>
      <c r="C24" s="111">
        <v>0</v>
      </c>
      <c r="D24" s="119">
        <f t="shared" ref="D24:D34" si="1">B24+C24</f>
        <v>0</v>
      </c>
    </row>
    <row r="25" spans="1:4" s="3" customFormat="1">
      <c r="A25" s="121" t="s">
        <v>26</v>
      </c>
      <c r="B25" s="113"/>
      <c r="C25" s="111">
        <v>102000</v>
      </c>
      <c r="D25" s="122">
        <f t="shared" si="1"/>
        <v>102000</v>
      </c>
    </row>
    <row r="26" spans="1:4" s="3" customFormat="1">
      <c r="A26" s="121" t="s">
        <v>27</v>
      </c>
      <c r="B26" s="113"/>
      <c r="C26" s="111">
        <v>0</v>
      </c>
      <c r="D26" s="122">
        <f t="shared" si="1"/>
        <v>0</v>
      </c>
    </row>
    <row r="27" spans="1:4" s="3" customFormat="1">
      <c r="A27" s="121" t="s">
        <v>28</v>
      </c>
      <c r="B27" s="113"/>
      <c r="C27" s="111">
        <v>0</v>
      </c>
      <c r="D27" s="122">
        <f t="shared" si="1"/>
        <v>0</v>
      </c>
    </row>
    <row r="28" spans="1:4" s="3" customFormat="1">
      <c r="A28" s="121" t="s">
        <v>29</v>
      </c>
      <c r="B28" s="113"/>
      <c r="C28" s="111">
        <v>0</v>
      </c>
      <c r="D28" s="122">
        <f t="shared" si="1"/>
        <v>0</v>
      </c>
    </row>
    <row r="29" spans="1:4" s="3" customFormat="1">
      <c r="A29" s="121" t="s">
        <v>30</v>
      </c>
      <c r="B29" s="113"/>
      <c r="C29" s="111">
        <v>0</v>
      </c>
      <c r="D29" s="122">
        <f t="shared" si="1"/>
        <v>0</v>
      </c>
    </row>
    <row r="30" spans="1:4" s="3" customFormat="1">
      <c r="A30" s="121" t="s">
        <v>31</v>
      </c>
      <c r="B30" s="113"/>
      <c r="C30" s="111">
        <v>0</v>
      </c>
      <c r="D30" s="122">
        <f t="shared" si="1"/>
        <v>0</v>
      </c>
    </row>
    <row r="31" spans="1:4" s="3" customFormat="1">
      <c r="A31" s="121" t="s">
        <v>32</v>
      </c>
      <c r="B31" s="113"/>
      <c r="C31" s="111">
        <v>0</v>
      </c>
      <c r="D31" s="122">
        <f t="shared" si="1"/>
        <v>0</v>
      </c>
    </row>
    <row r="32" spans="1:4" s="3" customFormat="1">
      <c r="A32" s="121" t="s">
        <v>33</v>
      </c>
      <c r="B32" s="113"/>
      <c r="C32" s="111">
        <v>0</v>
      </c>
      <c r="D32" s="122">
        <f t="shared" si="1"/>
        <v>0</v>
      </c>
    </row>
    <row r="33" spans="1:4" s="3" customFormat="1">
      <c r="A33" s="121" t="s">
        <v>34</v>
      </c>
      <c r="B33" s="113"/>
      <c r="C33" s="111">
        <v>0</v>
      </c>
      <c r="D33" s="122">
        <f t="shared" si="1"/>
        <v>0</v>
      </c>
    </row>
    <row r="34" spans="1:4" s="3" customFormat="1">
      <c r="A34" s="121" t="s">
        <v>35</v>
      </c>
      <c r="B34" s="113"/>
      <c r="C34" s="111">
        <v>0</v>
      </c>
      <c r="D34" s="122">
        <f t="shared" si="1"/>
        <v>0</v>
      </c>
    </row>
    <row r="35" spans="1:4" s="3" customFormat="1">
      <c r="A35" s="16" t="s">
        <v>43</v>
      </c>
      <c r="B35" s="11">
        <f>SUM(B24:B34)</f>
        <v>0</v>
      </c>
      <c r="C35" s="11">
        <f>SUM(C24:C34)</f>
        <v>102000</v>
      </c>
      <c r="D35" s="102">
        <f>SUM(D24:D34)</f>
        <v>102000</v>
      </c>
    </row>
    <row r="36" spans="1:4" s="3" customFormat="1">
      <c r="A36" s="4"/>
      <c r="B36" s="9"/>
      <c r="C36" s="9"/>
      <c r="D36" s="119"/>
    </row>
    <row r="37" spans="1:4" s="3" customFormat="1">
      <c r="A37" s="17" t="s">
        <v>36</v>
      </c>
      <c r="B37" s="12">
        <f>B21+B35</f>
        <v>0</v>
      </c>
      <c r="C37" s="12">
        <f>C21+C35</f>
        <v>102000</v>
      </c>
      <c r="D37" s="103">
        <f>D21+D35</f>
        <v>102000</v>
      </c>
    </row>
    <row r="38" spans="1:4" s="3" customFormat="1">
      <c r="A38" s="4"/>
      <c r="B38" s="9"/>
      <c r="C38" s="9"/>
      <c r="D38" s="119"/>
    </row>
    <row r="39" spans="1:4" s="3" customFormat="1">
      <c r="A39" s="4"/>
      <c r="B39" s="9"/>
      <c r="C39" s="9"/>
      <c r="D39" s="119"/>
    </row>
    <row r="40" spans="1:4">
      <c r="A40" s="14" t="s">
        <v>44</v>
      </c>
      <c r="B40" s="22"/>
      <c r="C40" s="22"/>
      <c r="D40" s="96"/>
    </row>
    <row r="41" spans="1:4">
      <c r="A41" s="133" t="s">
        <v>45</v>
      </c>
      <c r="B41" s="132"/>
      <c r="C41" s="184">
        <v>6815250</v>
      </c>
      <c r="D41" s="117">
        <f t="shared" ref="D41:D77" si="2">B41+C41</f>
        <v>6815250</v>
      </c>
    </row>
    <row r="42" spans="1:4">
      <c r="A42" s="116" t="s">
        <v>46</v>
      </c>
      <c r="B42" s="113"/>
      <c r="C42" s="111">
        <v>0</v>
      </c>
      <c r="D42" s="117">
        <f t="shared" si="2"/>
        <v>0</v>
      </c>
    </row>
    <row r="43" spans="1:4">
      <c r="A43" s="116" t="s">
        <v>47</v>
      </c>
      <c r="B43" s="113"/>
      <c r="C43" s="111">
        <v>455349</v>
      </c>
      <c r="D43" s="117">
        <f t="shared" si="2"/>
        <v>455349</v>
      </c>
    </row>
    <row r="44" spans="1:4">
      <c r="A44" s="116" t="s">
        <v>48</v>
      </c>
      <c r="B44" s="113"/>
      <c r="C44" s="111">
        <v>2830000</v>
      </c>
      <c r="D44" s="117">
        <f t="shared" si="2"/>
        <v>2830000</v>
      </c>
    </row>
    <row r="45" spans="1:4">
      <c r="A45" s="116" t="s">
        <v>49</v>
      </c>
      <c r="B45" s="113"/>
      <c r="C45" s="111">
        <v>400000</v>
      </c>
      <c r="D45" s="117">
        <f t="shared" si="2"/>
        <v>400000</v>
      </c>
    </row>
    <row r="46" spans="1:4">
      <c r="A46" s="116" t="s">
        <v>50</v>
      </c>
      <c r="B46" s="113"/>
      <c r="C46" s="111">
        <v>0</v>
      </c>
      <c r="D46" s="117">
        <f t="shared" si="2"/>
        <v>0</v>
      </c>
    </row>
    <row r="47" spans="1:4">
      <c r="A47" s="116" t="s">
        <v>51</v>
      </c>
      <c r="B47" s="113"/>
      <c r="C47" s="111">
        <v>7560000</v>
      </c>
      <c r="D47" s="117">
        <f t="shared" si="2"/>
        <v>7560000</v>
      </c>
    </row>
    <row r="48" spans="1:4">
      <c r="A48" s="116" t="s">
        <v>52</v>
      </c>
      <c r="B48" s="113"/>
      <c r="C48" s="111">
        <v>50000</v>
      </c>
      <c r="D48" s="117">
        <f t="shared" si="2"/>
        <v>50000</v>
      </c>
    </row>
    <row r="49" spans="1:4">
      <c r="A49" s="116" t="s">
        <v>53</v>
      </c>
      <c r="B49" s="113"/>
      <c r="C49" s="111">
        <v>3908100</v>
      </c>
      <c r="D49" s="117">
        <f t="shared" si="2"/>
        <v>3908100</v>
      </c>
    </row>
    <row r="50" spans="1:4">
      <c r="A50" s="116" t="s">
        <v>54</v>
      </c>
      <c r="B50" s="113"/>
      <c r="C50" s="111">
        <v>0</v>
      </c>
      <c r="D50" s="117">
        <f t="shared" si="2"/>
        <v>0</v>
      </c>
    </row>
    <row r="51" spans="1:4">
      <c r="A51" s="116" t="s">
        <v>55</v>
      </c>
      <c r="B51" s="113"/>
      <c r="C51" s="111">
        <v>3251000</v>
      </c>
      <c r="D51" s="117">
        <f t="shared" si="2"/>
        <v>3251000</v>
      </c>
    </row>
    <row r="52" spans="1:4">
      <c r="A52" s="116" t="s">
        <v>56</v>
      </c>
      <c r="B52" s="113"/>
      <c r="C52" s="111">
        <v>123000</v>
      </c>
      <c r="D52" s="117">
        <f t="shared" si="2"/>
        <v>123000</v>
      </c>
    </row>
    <row r="53" spans="1:4">
      <c r="A53" s="116" t="s">
        <v>58</v>
      </c>
      <c r="B53" s="113"/>
      <c r="C53" s="111">
        <v>7320000</v>
      </c>
      <c r="D53" s="117">
        <f t="shared" si="2"/>
        <v>7320000</v>
      </c>
    </row>
    <row r="54" spans="1:4">
      <c r="A54" s="116" t="s">
        <v>59</v>
      </c>
      <c r="B54" s="113"/>
      <c r="C54" s="111">
        <v>2529775</v>
      </c>
      <c r="D54" s="117">
        <f t="shared" si="2"/>
        <v>2529775</v>
      </c>
    </row>
    <row r="55" spans="1:4">
      <c r="A55" s="116" t="s">
        <v>120</v>
      </c>
      <c r="B55" s="113"/>
      <c r="C55" s="111">
        <v>8315850</v>
      </c>
      <c r="D55" s="117">
        <f t="shared" si="2"/>
        <v>8315850</v>
      </c>
    </row>
    <row r="56" spans="1:4">
      <c r="A56" s="116" t="s">
        <v>61</v>
      </c>
      <c r="B56" s="113"/>
      <c r="C56" s="111">
        <v>0</v>
      </c>
      <c r="D56" s="117">
        <f t="shared" si="2"/>
        <v>0</v>
      </c>
    </row>
    <row r="57" spans="1:4">
      <c r="A57" s="116" t="s">
        <v>60</v>
      </c>
      <c r="B57" s="113"/>
      <c r="C57" s="111">
        <v>0</v>
      </c>
      <c r="D57" s="117">
        <f t="shared" si="2"/>
        <v>0</v>
      </c>
    </row>
    <row r="58" spans="1:4">
      <c r="A58" s="116" t="s">
        <v>62</v>
      </c>
      <c r="B58" s="113"/>
      <c r="C58" s="111">
        <v>0</v>
      </c>
      <c r="D58" s="117">
        <f t="shared" si="2"/>
        <v>0</v>
      </c>
    </row>
    <row r="59" spans="1:4">
      <c r="A59" s="116" t="s">
        <v>63</v>
      </c>
      <c r="B59" s="113"/>
      <c r="C59" s="111">
        <v>300000</v>
      </c>
      <c r="D59" s="117">
        <f t="shared" si="2"/>
        <v>300000</v>
      </c>
    </row>
    <row r="60" spans="1:4">
      <c r="A60" s="116" t="s">
        <v>64</v>
      </c>
      <c r="B60" s="113"/>
      <c r="C60" s="111">
        <v>1540000</v>
      </c>
      <c r="D60" s="117">
        <f t="shared" si="2"/>
        <v>1540000</v>
      </c>
    </row>
    <row r="61" spans="1:4">
      <c r="A61" s="116" t="s">
        <v>65</v>
      </c>
      <c r="B61" s="113"/>
      <c r="C61" s="111">
        <v>0</v>
      </c>
      <c r="D61" s="117">
        <f t="shared" si="2"/>
        <v>0</v>
      </c>
    </row>
    <row r="62" spans="1:4">
      <c r="A62" s="116" t="s">
        <v>66</v>
      </c>
      <c r="B62" s="113"/>
      <c r="C62" s="111">
        <v>1207000</v>
      </c>
      <c r="D62" s="117">
        <f t="shared" si="2"/>
        <v>1207000</v>
      </c>
    </row>
    <row r="63" spans="1:4">
      <c r="A63" s="116" t="s">
        <v>67</v>
      </c>
      <c r="B63" s="113"/>
      <c r="C63" s="111">
        <v>1700000</v>
      </c>
      <c r="D63" s="117">
        <f t="shared" si="2"/>
        <v>1700000</v>
      </c>
    </row>
    <row r="64" spans="1:4">
      <c r="A64" s="116" t="s">
        <v>68</v>
      </c>
      <c r="B64" s="113"/>
      <c r="C64" s="111">
        <v>2099160</v>
      </c>
      <c r="D64" s="117">
        <f t="shared" si="2"/>
        <v>2099160</v>
      </c>
    </row>
    <row r="65" spans="1:4">
      <c r="A65" s="116" t="s">
        <v>69</v>
      </c>
      <c r="B65" s="113"/>
      <c r="C65" s="111">
        <v>791500</v>
      </c>
      <c r="D65" s="117">
        <f t="shared" si="2"/>
        <v>791500</v>
      </c>
    </row>
    <row r="66" spans="1:4">
      <c r="A66" s="116" t="s">
        <v>71</v>
      </c>
      <c r="B66" s="113"/>
      <c r="C66" s="111">
        <v>0</v>
      </c>
      <c r="D66" s="117">
        <f t="shared" si="2"/>
        <v>0</v>
      </c>
    </row>
    <row r="67" spans="1:4">
      <c r="A67" s="116" t="s">
        <v>72</v>
      </c>
      <c r="B67" s="113"/>
      <c r="C67" s="111">
        <v>0</v>
      </c>
      <c r="D67" s="117">
        <f t="shared" si="2"/>
        <v>0</v>
      </c>
    </row>
    <row r="68" spans="1:4">
      <c r="A68" s="116" t="s">
        <v>73</v>
      </c>
      <c r="B68" s="113"/>
      <c r="C68" s="111">
        <v>3552725</v>
      </c>
      <c r="D68" s="117">
        <f t="shared" si="2"/>
        <v>3552725</v>
      </c>
    </row>
    <row r="69" spans="1:4">
      <c r="A69" s="116" t="s">
        <v>74</v>
      </c>
      <c r="B69" s="113"/>
      <c r="C69" s="111">
        <v>1717000</v>
      </c>
      <c r="D69" s="117">
        <f t="shared" si="2"/>
        <v>1717000</v>
      </c>
    </row>
    <row r="70" spans="1:4">
      <c r="A70" s="116" t="s">
        <v>75</v>
      </c>
      <c r="B70" s="113"/>
      <c r="C70" s="111">
        <v>0</v>
      </c>
      <c r="D70" s="117">
        <f t="shared" si="2"/>
        <v>0</v>
      </c>
    </row>
    <row r="71" spans="1:4">
      <c r="A71" s="116" t="s">
        <v>76</v>
      </c>
      <c r="B71" s="113"/>
      <c r="C71" s="111">
        <v>180000</v>
      </c>
      <c r="D71" s="117">
        <f t="shared" si="2"/>
        <v>180000</v>
      </c>
    </row>
    <row r="72" spans="1:4">
      <c r="A72" s="116" t="s">
        <v>77</v>
      </c>
      <c r="B72" s="113"/>
      <c r="C72" s="111">
        <v>16387320</v>
      </c>
      <c r="D72" s="117">
        <f t="shared" si="2"/>
        <v>16387320</v>
      </c>
    </row>
    <row r="73" spans="1:4">
      <c r="A73" s="116" t="s">
        <v>78</v>
      </c>
      <c r="B73" s="113"/>
      <c r="C73" s="111">
        <v>978000</v>
      </c>
      <c r="D73" s="117">
        <f t="shared" si="2"/>
        <v>978000</v>
      </c>
    </row>
    <row r="74" spans="1:4">
      <c r="A74" s="116" t="s">
        <v>79</v>
      </c>
      <c r="B74" s="113"/>
      <c r="C74" s="111">
        <v>3381000</v>
      </c>
      <c r="D74" s="117">
        <f t="shared" si="2"/>
        <v>3381000</v>
      </c>
    </row>
    <row r="75" spans="1:4">
      <c r="A75" s="116" t="s">
        <v>80</v>
      </c>
      <c r="B75" s="113"/>
      <c r="C75" s="111">
        <v>0</v>
      </c>
      <c r="D75" s="117">
        <f t="shared" si="2"/>
        <v>0</v>
      </c>
    </row>
    <row r="76" spans="1:4">
      <c r="A76" s="116" t="s">
        <v>119</v>
      </c>
      <c r="B76" s="113"/>
      <c r="C76" s="111">
        <v>25000000</v>
      </c>
      <c r="D76" s="117">
        <f t="shared" si="2"/>
        <v>25000000</v>
      </c>
    </row>
    <row r="77" spans="1:4" ht="16.3" thickBot="1">
      <c r="A77" s="27" t="s">
        <v>81</v>
      </c>
      <c r="B77" s="114">
        <f>ROUND(SUBTOTAL(9, B40:B75), 5)</f>
        <v>0</v>
      </c>
      <c r="C77" s="114">
        <f>ROUND(SUBTOTAL(9, C40:C76), 5)</f>
        <v>102392029</v>
      </c>
      <c r="D77" s="123">
        <f t="shared" si="2"/>
        <v>102392029</v>
      </c>
    </row>
    <row r="78" spans="1:4" s="3" customFormat="1" ht="16.3" thickTop="1">
      <c r="A78" s="6"/>
      <c r="B78" s="9"/>
      <c r="C78" s="9"/>
      <c r="D78" s="119"/>
    </row>
    <row r="79" spans="1:4">
      <c r="A79" s="124" t="s">
        <v>82</v>
      </c>
      <c r="B79" s="115">
        <f>(ROUND(B37-B77, 5))</f>
        <v>0</v>
      </c>
      <c r="C79" s="115">
        <f>C37-C77</f>
        <v>-102290029</v>
      </c>
      <c r="D79" s="125">
        <f>(ROUND(D37-D77, 5))</f>
        <v>-102290029</v>
      </c>
    </row>
    <row r="80" spans="1:4">
      <c r="A80" s="126"/>
      <c r="D80" s="127"/>
    </row>
    <row r="81" spans="1:4">
      <c r="A81" s="14" t="s">
        <v>104</v>
      </c>
      <c r="B81" s="24"/>
      <c r="C81" s="24"/>
      <c r="D81" s="96"/>
    </row>
    <row r="82" spans="1:4">
      <c r="A82" s="21" t="s">
        <v>37</v>
      </c>
      <c r="B82" s="42"/>
      <c r="C82" s="182">
        <v>-167055500</v>
      </c>
      <c r="D82" s="96">
        <f>B82+C82</f>
        <v>-167055500</v>
      </c>
    </row>
    <row r="83" spans="1:4">
      <c r="A83" s="21" t="s">
        <v>87</v>
      </c>
      <c r="B83" s="42"/>
      <c r="C83" s="42">
        <v>0</v>
      </c>
      <c r="D83" s="96">
        <f>B83+C83</f>
        <v>0</v>
      </c>
    </row>
    <row r="84" spans="1:4">
      <c r="A84" s="36" t="s">
        <v>88</v>
      </c>
      <c r="B84" s="42"/>
      <c r="C84" s="42">
        <v>0</v>
      </c>
      <c r="D84" s="96">
        <f>B84+C84</f>
        <v>0</v>
      </c>
    </row>
    <row r="85" spans="1:4">
      <c r="A85" s="36" t="s">
        <v>38</v>
      </c>
      <c r="B85" s="42"/>
      <c r="C85" s="42">
        <v>0</v>
      </c>
      <c r="D85" s="96">
        <f>B85+C85</f>
        <v>0</v>
      </c>
    </row>
    <row r="86" spans="1:4">
      <c r="A86" s="128" t="s">
        <v>133</v>
      </c>
      <c r="B86" s="43"/>
      <c r="C86" s="43">
        <v>0</v>
      </c>
      <c r="D86" s="129">
        <f>B86+C86</f>
        <v>0</v>
      </c>
    </row>
    <row r="87" spans="1:4">
      <c r="A87" s="36" t="s">
        <v>160</v>
      </c>
      <c r="B87" s="24"/>
      <c r="C87" s="24">
        <v>5044</v>
      </c>
      <c r="D87" s="96"/>
    </row>
    <row r="88" spans="1:4">
      <c r="A88" s="36"/>
      <c r="B88" s="24"/>
      <c r="C88" s="24"/>
      <c r="D88" s="96"/>
    </row>
    <row r="89" spans="1:4">
      <c r="A89" s="194" t="s">
        <v>105</v>
      </c>
      <c r="B89" s="195">
        <f>B83+B84+B86+B82</f>
        <v>0</v>
      </c>
      <c r="C89" s="195">
        <f>C83+C84+C86+C82</f>
        <v>-167055500</v>
      </c>
      <c r="D89" s="196">
        <f>B89+C89</f>
        <v>-167055500</v>
      </c>
    </row>
    <row r="90" spans="1:4">
      <c r="A90" s="21"/>
      <c r="B90" s="24"/>
      <c r="C90" s="24"/>
      <c r="D90" s="96"/>
    </row>
    <row r="91" spans="1:4">
      <c r="A91" s="21"/>
      <c r="B91" s="24"/>
      <c r="C91" s="24"/>
      <c r="D91" s="96"/>
    </row>
    <row r="92" spans="1:4" ht="16.3" thickBot="1">
      <c r="A92" s="38" t="s">
        <v>106</v>
      </c>
      <c r="B92" s="40">
        <f>B79+B89</f>
        <v>0</v>
      </c>
      <c r="C92" s="40">
        <f>C79+C89</f>
        <v>-269345529</v>
      </c>
      <c r="D92" s="108">
        <f>D79+D89</f>
        <v>-269345529</v>
      </c>
    </row>
    <row r="93" spans="1:4" ht="16.75" thickTop="1" thickBot="1">
      <c r="A93" s="7"/>
      <c r="B93" s="98"/>
      <c r="C93" s="98"/>
      <c r="D93" s="44"/>
    </row>
    <row r="94" spans="1:4">
      <c r="A94" s="130"/>
      <c r="B94" s="131"/>
      <c r="C94" s="131"/>
      <c r="D94" s="131"/>
    </row>
    <row r="95" spans="1:4">
      <c r="D95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4456-9471-432C-AA50-F534F9C613C4}">
  <sheetPr>
    <pageSetUpPr fitToPage="1"/>
  </sheetPr>
  <dimension ref="A1:F95"/>
  <sheetViews>
    <sheetView topLeftCell="A82" workbookViewId="0">
      <selection activeCell="B94" sqref="B94"/>
    </sheetView>
  </sheetViews>
  <sheetFormatPr defaultColWidth="9.3046875" defaultRowHeight="15.9"/>
  <cols>
    <col min="1" max="1" width="38" style="20" customWidth="1"/>
    <col min="2" max="3" width="21.69140625" style="20" customWidth="1"/>
    <col min="4" max="4" width="20.3046875" style="23" customWidth="1"/>
    <col min="5" max="5" width="9.3046875" style="20"/>
    <col min="6" max="6" width="14.3046875" style="20" customWidth="1"/>
    <col min="7" max="16384" width="9.3046875" style="20"/>
  </cols>
  <sheetData>
    <row r="1" spans="1:6" ht="20.6">
      <c r="A1" s="232" t="s">
        <v>126</v>
      </c>
      <c r="B1" s="232"/>
      <c r="C1" s="232"/>
      <c r="D1" s="232"/>
    </row>
    <row r="2" spans="1:6" ht="18.45">
      <c r="A2" s="233" t="s">
        <v>127</v>
      </c>
      <c r="B2" s="233"/>
      <c r="C2" s="233"/>
      <c r="D2" s="233"/>
    </row>
    <row r="3" spans="1:6" ht="18.45">
      <c r="A3" s="234" t="s">
        <v>157</v>
      </c>
      <c r="B3" s="234"/>
      <c r="C3" s="234"/>
      <c r="D3" s="234"/>
    </row>
    <row r="4" spans="1:6" ht="18.899999999999999" thickBot="1">
      <c r="A4" s="235"/>
      <c r="B4" s="235"/>
      <c r="C4" s="235"/>
      <c r="D4" s="235"/>
    </row>
    <row r="5" spans="1:6">
      <c r="A5" s="18" t="s">
        <v>128</v>
      </c>
      <c r="B5" s="19" t="s">
        <v>129</v>
      </c>
      <c r="C5" s="19" t="s">
        <v>108</v>
      </c>
      <c r="D5" s="99" t="s">
        <v>130</v>
      </c>
    </row>
    <row r="6" spans="1:6">
      <c r="A6" s="116" t="s">
        <v>39</v>
      </c>
      <c r="B6" s="100">
        <v>32971799.729999997</v>
      </c>
      <c r="C6" s="10">
        <v>4820388.4800000004</v>
      </c>
      <c r="D6" s="117">
        <f>B6+C6</f>
        <v>37792188.209999993</v>
      </c>
      <c r="F6" s="46"/>
    </row>
    <row r="7" spans="1:6">
      <c r="A7" s="14" t="s">
        <v>131</v>
      </c>
      <c r="B7" s="22"/>
      <c r="C7" s="110"/>
      <c r="D7" s="117"/>
    </row>
    <row r="8" spans="1:6">
      <c r="A8" s="116" t="s">
        <v>9</v>
      </c>
      <c r="B8" s="182">
        <v>222750</v>
      </c>
      <c r="C8" s="111">
        <v>71000</v>
      </c>
      <c r="D8" s="117">
        <f t="shared" ref="D8:D21" si="0">B8+C8</f>
        <v>293750</v>
      </c>
    </row>
    <row r="9" spans="1:6">
      <c r="A9" s="116" t="s">
        <v>10</v>
      </c>
      <c r="B9" s="182">
        <v>22085703</v>
      </c>
      <c r="C9" s="111">
        <v>13593838</v>
      </c>
      <c r="D9" s="117">
        <f t="shared" si="0"/>
        <v>35679541</v>
      </c>
    </row>
    <row r="10" spans="1:6">
      <c r="A10" s="116" t="s">
        <v>11</v>
      </c>
      <c r="B10" s="182">
        <v>28755920</v>
      </c>
      <c r="C10" s="111">
        <v>64180124</v>
      </c>
      <c r="D10" s="117">
        <f t="shared" si="0"/>
        <v>92936044</v>
      </c>
    </row>
    <row r="11" spans="1:6">
      <c r="A11" s="116" t="s">
        <v>12</v>
      </c>
      <c r="B11" s="182">
        <v>161338791</v>
      </c>
      <c r="C11" s="111">
        <v>107466417</v>
      </c>
      <c r="D11" s="117">
        <f t="shared" si="0"/>
        <v>268805208</v>
      </c>
    </row>
    <row r="12" spans="1:6">
      <c r="A12" s="116" t="s">
        <v>14</v>
      </c>
      <c r="B12" s="182">
        <v>2063734</v>
      </c>
      <c r="C12" s="111">
        <v>832564</v>
      </c>
      <c r="D12" s="117">
        <f t="shared" si="0"/>
        <v>2896298</v>
      </c>
    </row>
    <row r="13" spans="1:6">
      <c r="A13" s="116" t="s">
        <v>132</v>
      </c>
      <c r="B13" s="182">
        <v>0</v>
      </c>
      <c r="C13" s="111">
        <v>0</v>
      </c>
      <c r="D13" s="117">
        <f t="shared" si="0"/>
        <v>0</v>
      </c>
    </row>
    <row r="14" spans="1:6">
      <c r="A14" s="116" t="s">
        <v>15</v>
      </c>
      <c r="B14" s="182">
        <v>7030940</v>
      </c>
      <c r="C14" s="111">
        <v>7118640</v>
      </c>
      <c r="D14" s="117">
        <f t="shared" si="0"/>
        <v>14149580</v>
      </c>
    </row>
    <row r="15" spans="1:6">
      <c r="A15" s="116" t="s">
        <v>16</v>
      </c>
      <c r="B15" s="182">
        <v>18686413</v>
      </c>
      <c r="C15" s="111">
        <v>14989392</v>
      </c>
      <c r="D15" s="117">
        <f t="shared" si="0"/>
        <v>33675805</v>
      </c>
    </row>
    <row r="16" spans="1:6">
      <c r="A16" s="116" t="s">
        <v>17</v>
      </c>
      <c r="B16" s="182">
        <v>0</v>
      </c>
      <c r="C16" s="111">
        <v>0</v>
      </c>
      <c r="D16" s="117">
        <f t="shared" si="0"/>
        <v>0</v>
      </c>
    </row>
    <row r="17" spans="1:4">
      <c r="A17" s="116" t="s">
        <v>21</v>
      </c>
      <c r="B17" s="182">
        <v>284367</v>
      </c>
      <c r="C17" s="111">
        <v>385324</v>
      </c>
      <c r="D17" s="117">
        <f t="shared" si="0"/>
        <v>669691</v>
      </c>
    </row>
    <row r="18" spans="1:4">
      <c r="A18" s="116" t="s">
        <v>22</v>
      </c>
      <c r="B18" s="182">
        <v>0</v>
      </c>
      <c r="C18" s="111">
        <v>606000</v>
      </c>
      <c r="D18" s="117">
        <f t="shared" si="0"/>
        <v>606000</v>
      </c>
    </row>
    <row r="19" spans="1:4">
      <c r="A19" s="116" t="s">
        <v>23</v>
      </c>
      <c r="B19" s="182">
        <v>0</v>
      </c>
      <c r="C19" s="111">
        <v>196000</v>
      </c>
      <c r="D19" s="117">
        <f t="shared" si="0"/>
        <v>196000</v>
      </c>
    </row>
    <row r="20" spans="1:4">
      <c r="A20" s="116" t="s">
        <v>24</v>
      </c>
      <c r="B20" s="182">
        <v>725500</v>
      </c>
      <c r="C20" s="111">
        <v>502000</v>
      </c>
      <c r="D20" s="117">
        <f t="shared" si="0"/>
        <v>1227500</v>
      </c>
    </row>
    <row r="21" spans="1:4">
      <c r="A21" s="16" t="s">
        <v>41</v>
      </c>
      <c r="B21" s="112">
        <f>SUM(B6:B20)</f>
        <v>274165917.73000002</v>
      </c>
      <c r="C21" s="112">
        <f>SUM(C6:C20)</f>
        <v>214761687.48000002</v>
      </c>
      <c r="D21" s="118">
        <f t="shared" si="0"/>
        <v>488927605.21000004</v>
      </c>
    </row>
    <row r="22" spans="1:4" s="3" customFormat="1">
      <c r="A22" s="4"/>
      <c r="B22" s="9"/>
      <c r="C22" s="9"/>
      <c r="D22" s="119"/>
    </row>
    <row r="23" spans="1:4" s="3" customFormat="1">
      <c r="A23" s="14" t="s">
        <v>42</v>
      </c>
      <c r="B23" s="9"/>
      <c r="C23" s="9"/>
      <c r="D23" s="119"/>
    </row>
    <row r="24" spans="1:4" s="3" customFormat="1">
      <c r="A24" s="120" t="s">
        <v>18</v>
      </c>
      <c r="B24" s="185">
        <v>0</v>
      </c>
      <c r="C24" s="111">
        <v>0</v>
      </c>
      <c r="D24" s="119">
        <f t="shared" ref="D24:D34" si="1">B24+C24</f>
        <v>0</v>
      </c>
    </row>
    <row r="25" spans="1:4" s="3" customFormat="1">
      <c r="A25" s="121" t="s">
        <v>26</v>
      </c>
      <c r="B25" s="185">
        <v>102000</v>
      </c>
      <c r="C25" s="111">
        <v>0</v>
      </c>
      <c r="D25" s="122">
        <f t="shared" si="1"/>
        <v>102000</v>
      </c>
    </row>
    <row r="26" spans="1:4" s="3" customFormat="1">
      <c r="A26" s="121" t="s">
        <v>27</v>
      </c>
      <c r="B26" s="185">
        <v>0</v>
      </c>
      <c r="C26" s="111">
        <v>0</v>
      </c>
      <c r="D26" s="122">
        <f t="shared" si="1"/>
        <v>0</v>
      </c>
    </row>
    <row r="27" spans="1:4" s="3" customFormat="1">
      <c r="A27" s="121" t="s">
        <v>28</v>
      </c>
      <c r="B27" s="185">
        <v>0</v>
      </c>
      <c r="C27" s="111">
        <v>0</v>
      </c>
      <c r="D27" s="122">
        <f t="shared" si="1"/>
        <v>0</v>
      </c>
    </row>
    <row r="28" spans="1:4" s="3" customFormat="1">
      <c r="A28" s="121" t="s">
        <v>29</v>
      </c>
      <c r="B28" s="185">
        <v>0</v>
      </c>
      <c r="C28" s="111">
        <v>0</v>
      </c>
      <c r="D28" s="122">
        <f t="shared" si="1"/>
        <v>0</v>
      </c>
    </row>
    <row r="29" spans="1:4" s="3" customFormat="1">
      <c r="A29" s="121" t="s">
        <v>30</v>
      </c>
      <c r="B29" s="185">
        <v>0</v>
      </c>
      <c r="C29" s="111">
        <v>0</v>
      </c>
      <c r="D29" s="122">
        <f t="shared" si="1"/>
        <v>0</v>
      </c>
    </row>
    <row r="30" spans="1:4" s="3" customFormat="1">
      <c r="A30" s="121" t="s">
        <v>31</v>
      </c>
      <c r="B30" s="185">
        <v>0</v>
      </c>
      <c r="C30" s="111">
        <v>0</v>
      </c>
      <c r="D30" s="122">
        <f t="shared" si="1"/>
        <v>0</v>
      </c>
    </row>
    <row r="31" spans="1:4" s="3" customFormat="1">
      <c r="A31" s="121" t="s">
        <v>32</v>
      </c>
      <c r="B31" s="185">
        <v>0</v>
      </c>
      <c r="C31" s="111">
        <v>0</v>
      </c>
      <c r="D31" s="122">
        <f t="shared" si="1"/>
        <v>0</v>
      </c>
    </row>
    <row r="32" spans="1:4" s="3" customFormat="1">
      <c r="A32" s="121" t="s">
        <v>33</v>
      </c>
      <c r="B32" s="185">
        <v>0</v>
      </c>
      <c r="C32" s="111">
        <v>0</v>
      </c>
      <c r="D32" s="122">
        <f t="shared" si="1"/>
        <v>0</v>
      </c>
    </row>
    <row r="33" spans="1:4" s="3" customFormat="1">
      <c r="A33" s="121" t="s">
        <v>34</v>
      </c>
      <c r="B33" s="185">
        <v>0</v>
      </c>
      <c r="C33" s="111">
        <v>0</v>
      </c>
      <c r="D33" s="122">
        <f t="shared" si="1"/>
        <v>0</v>
      </c>
    </row>
    <row r="34" spans="1:4" s="3" customFormat="1">
      <c r="A34" s="121" t="s">
        <v>35</v>
      </c>
      <c r="B34" s="185">
        <v>0</v>
      </c>
      <c r="C34" s="111">
        <v>0</v>
      </c>
      <c r="D34" s="122">
        <f t="shared" si="1"/>
        <v>0</v>
      </c>
    </row>
    <row r="35" spans="1:4" s="3" customFormat="1">
      <c r="A35" s="16" t="s">
        <v>43</v>
      </c>
      <c r="B35" s="11">
        <f>SUM(B24:B34)</f>
        <v>102000</v>
      </c>
      <c r="C35" s="11">
        <f>SUM(C24:C34)</f>
        <v>0</v>
      </c>
      <c r="D35" s="102">
        <f>SUM(D24:D34)</f>
        <v>102000</v>
      </c>
    </row>
    <row r="36" spans="1:4" s="3" customFormat="1">
      <c r="A36" s="4"/>
      <c r="B36" s="9"/>
      <c r="C36" s="9"/>
      <c r="D36" s="119"/>
    </row>
    <row r="37" spans="1:4" s="3" customFormat="1">
      <c r="A37" s="17" t="s">
        <v>36</v>
      </c>
      <c r="B37" s="12">
        <f>B21+B35</f>
        <v>274267917.73000002</v>
      </c>
      <c r="C37" s="12">
        <f>C21+C35</f>
        <v>214761687.48000002</v>
      </c>
      <c r="D37" s="103">
        <f>D21+D35</f>
        <v>489029605.21000004</v>
      </c>
    </row>
    <row r="38" spans="1:4" s="3" customFormat="1">
      <c r="A38" s="4"/>
      <c r="B38" s="9"/>
      <c r="C38" s="9"/>
      <c r="D38" s="119"/>
    </row>
    <row r="39" spans="1:4" s="3" customFormat="1">
      <c r="A39" s="4"/>
      <c r="B39" s="9"/>
      <c r="C39" s="9"/>
      <c r="D39" s="119"/>
    </row>
    <row r="40" spans="1:4">
      <c r="A40" s="14" t="s">
        <v>44</v>
      </c>
      <c r="B40" s="22"/>
      <c r="C40" s="22"/>
      <c r="D40" s="96"/>
    </row>
    <row r="41" spans="1:4">
      <c r="A41" s="133" t="s">
        <v>45</v>
      </c>
      <c r="B41" s="186">
        <v>6815250</v>
      </c>
      <c r="C41" s="111">
        <v>7967350</v>
      </c>
      <c r="D41" s="117">
        <f t="shared" ref="D41:D77" si="2">B41+C41</f>
        <v>14782600</v>
      </c>
    </row>
    <row r="42" spans="1:4">
      <c r="A42" s="116" t="s">
        <v>46</v>
      </c>
      <c r="B42" s="185">
        <v>0</v>
      </c>
      <c r="C42" s="111">
        <v>0</v>
      </c>
      <c r="D42" s="117">
        <f t="shared" si="2"/>
        <v>0</v>
      </c>
    </row>
    <row r="43" spans="1:4">
      <c r="A43" s="116" t="s">
        <v>47</v>
      </c>
      <c r="B43" s="185">
        <v>455349</v>
      </c>
      <c r="C43" s="111">
        <v>533148</v>
      </c>
      <c r="D43" s="117">
        <f t="shared" si="2"/>
        <v>988497</v>
      </c>
    </row>
    <row r="44" spans="1:4">
      <c r="A44" s="116" t="s">
        <v>48</v>
      </c>
      <c r="B44" s="185">
        <v>2830000</v>
      </c>
      <c r="C44" s="111">
        <v>2660000</v>
      </c>
      <c r="D44" s="117">
        <f t="shared" si="2"/>
        <v>5490000</v>
      </c>
    </row>
    <row r="45" spans="1:4">
      <c r="A45" s="116" t="s">
        <v>49</v>
      </c>
      <c r="B45" s="185">
        <v>400000</v>
      </c>
      <c r="C45" s="111">
        <v>350000</v>
      </c>
      <c r="D45" s="117">
        <f t="shared" si="2"/>
        <v>750000</v>
      </c>
    </row>
    <row r="46" spans="1:4">
      <c r="A46" s="116" t="s">
        <v>50</v>
      </c>
      <c r="B46" s="185">
        <v>0</v>
      </c>
      <c r="C46" s="111">
        <v>1267060</v>
      </c>
      <c r="D46" s="117">
        <f t="shared" si="2"/>
        <v>1267060</v>
      </c>
    </row>
    <row r="47" spans="1:4">
      <c r="A47" s="116" t="s">
        <v>51</v>
      </c>
      <c r="B47" s="185">
        <v>7560000</v>
      </c>
      <c r="C47" s="111">
        <v>6796000</v>
      </c>
      <c r="D47" s="117">
        <f t="shared" si="2"/>
        <v>14356000</v>
      </c>
    </row>
    <row r="48" spans="1:4">
      <c r="A48" s="116" t="s">
        <v>52</v>
      </c>
      <c r="B48" s="185">
        <v>50000</v>
      </c>
      <c r="C48" s="111">
        <v>50000</v>
      </c>
      <c r="D48" s="117">
        <f t="shared" si="2"/>
        <v>100000</v>
      </c>
    </row>
    <row r="49" spans="1:4">
      <c r="A49" s="116" t="s">
        <v>53</v>
      </c>
      <c r="B49" s="185">
        <v>3908100</v>
      </c>
      <c r="C49" s="111">
        <v>1045000</v>
      </c>
      <c r="D49" s="117">
        <f t="shared" si="2"/>
        <v>4953100</v>
      </c>
    </row>
    <row r="50" spans="1:4">
      <c r="A50" s="116" t="s">
        <v>54</v>
      </c>
      <c r="B50" s="185">
        <v>0</v>
      </c>
      <c r="C50" s="111">
        <v>0</v>
      </c>
      <c r="D50" s="117">
        <f t="shared" si="2"/>
        <v>0</v>
      </c>
    </row>
    <row r="51" spans="1:4">
      <c r="A51" s="116" t="s">
        <v>55</v>
      </c>
      <c r="B51" s="185">
        <v>3251000</v>
      </c>
      <c r="C51" s="111">
        <v>2507000</v>
      </c>
      <c r="D51" s="117">
        <f t="shared" si="2"/>
        <v>5758000</v>
      </c>
    </row>
    <row r="52" spans="1:4">
      <c r="A52" s="116" t="s">
        <v>56</v>
      </c>
      <c r="B52" s="185">
        <v>123000</v>
      </c>
      <c r="C52" s="111">
        <v>320000</v>
      </c>
      <c r="D52" s="117">
        <f t="shared" si="2"/>
        <v>443000</v>
      </c>
    </row>
    <row r="53" spans="1:4">
      <c r="A53" s="116" t="s">
        <v>58</v>
      </c>
      <c r="B53" s="185">
        <v>0</v>
      </c>
      <c r="C53" s="111">
        <v>7866000</v>
      </c>
      <c r="D53" s="117">
        <f t="shared" si="2"/>
        <v>7866000</v>
      </c>
    </row>
    <row r="54" spans="1:4">
      <c r="A54" s="116" t="s">
        <v>59</v>
      </c>
      <c r="B54" s="185">
        <v>7320000</v>
      </c>
      <c r="C54" s="111">
        <v>1208000</v>
      </c>
      <c r="D54" s="117">
        <f t="shared" si="2"/>
        <v>8528000</v>
      </c>
    </row>
    <row r="55" spans="1:4">
      <c r="A55" s="116" t="s">
        <v>120</v>
      </c>
      <c r="B55" s="185">
        <v>2529775</v>
      </c>
      <c r="C55" s="111">
        <v>2456000</v>
      </c>
      <c r="D55" s="117">
        <f t="shared" si="2"/>
        <v>4985775</v>
      </c>
    </row>
    <row r="56" spans="1:4">
      <c r="A56" s="116" t="s">
        <v>61</v>
      </c>
      <c r="B56" s="185">
        <v>8315850</v>
      </c>
      <c r="C56" s="111">
        <v>101050</v>
      </c>
      <c r="D56" s="117">
        <f t="shared" si="2"/>
        <v>8416900</v>
      </c>
    </row>
    <row r="57" spans="1:4">
      <c r="A57" s="116" t="s">
        <v>60</v>
      </c>
      <c r="B57" s="113">
        <v>0</v>
      </c>
      <c r="C57" s="111">
        <v>0</v>
      </c>
      <c r="D57" s="117">
        <f t="shared" si="2"/>
        <v>0</v>
      </c>
    </row>
    <row r="58" spans="1:4">
      <c r="A58" s="116" t="s">
        <v>62</v>
      </c>
      <c r="B58" s="113">
        <v>0</v>
      </c>
      <c r="C58" s="111">
        <v>97400</v>
      </c>
      <c r="D58" s="117">
        <f t="shared" si="2"/>
        <v>97400</v>
      </c>
    </row>
    <row r="59" spans="1:4">
      <c r="A59" s="116" t="s">
        <v>63</v>
      </c>
      <c r="B59" s="185">
        <v>300000</v>
      </c>
      <c r="C59" s="111">
        <v>300000</v>
      </c>
      <c r="D59" s="117">
        <f t="shared" si="2"/>
        <v>600000</v>
      </c>
    </row>
    <row r="60" spans="1:4">
      <c r="A60" s="116" t="s">
        <v>64</v>
      </c>
      <c r="B60" s="185">
        <v>1540000</v>
      </c>
      <c r="C60" s="111">
        <v>2799600</v>
      </c>
      <c r="D60" s="117">
        <f t="shared" si="2"/>
        <v>4339600</v>
      </c>
    </row>
    <row r="61" spans="1:4">
      <c r="A61" s="116" t="s">
        <v>65</v>
      </c>
      <c r="B61" s="185">
        <v>0</v>
      </c>
      <c r="C61" s="111">
        <v>0</v>
      </c>
      <c r="D61" s="117">
        <f t="shared" si="2"/>
        <v>0</v>
      </c>
    </row>
    <row r="62" spans="1:4">
      <c r="A62" s="116" t="s">
        <v>66</v>
      </c>
      <c r="B62" s="185">
        <v>1207000</v>
      </c>
      <c r="C62" s="111">
        <v>1200000</v>
      </c>
      <c r="D62" s="117">
        <f t="shared" si="2"/>
        <v>2407000</v>
      </c>
    </row>
    <row r="63" spans="1:4">
      <c r="A63" s="116" t="s">
        <v>67</v>
      </c>
      <c r="B63" s="185">
        <v>1700000</v>
      </c>
      <c r="C63" s="111">
        <v>0</v>
      </c>
      <c r="D63" s="117">
        <f t="shared" si="2"/>
        <v>1700000</v>
      </c>
    </row>
    <row r="64" spans="1:4">
      <c r="A64" s="116" t="s">
        <v>68</v>
      </c>
      <c r="B64" s="185">
        <v>2099160</v>
      </c>
      <c r="C64" s="111">
        <v>972970</v>
      </c>
      <c r="D64" s="117">
        <f t="shared" si="2"/>
        <v>3072130</v>
      </c>
    </row>
    <row r="65" spans="1:4">
      <c r="A65" s="116" t="s">
        <v>69</v>
      </c>
      <c r="B65" s="185">
        <v>791500</v>
      </c>
      <c r="C65" s="111">
        <v>1951750</v>
      </c>
      <c r="D65" s="117">
        <f t="shared" si="2"/>
        <v>2743250</v>
      </c>
    </row>
    <row r="66" spans="1:4">
      <c r="A66" s="116" t="s">
        <v>71</v>
      </c>
      <c r="B66" s="185">
        <v>0</v>
      </c>
      <c r="C66" s="111">
        <v>0</v>
      </c>
      <c r="D66" s="117">
        <f t="shared" si="2"/>
        <v>0</v>
      </c>
    </row>
    <row r="67" spans="1:4">
      <c r="A67" s="116" t="s">
        <v>72</v>
      </c>
      <c r="B67" s="185">
        <v>0</v>
      </c>
      <c r="C67" s="111">
        <v>0</v>
      </c>
      <c r="D67" s="117">
        <f t="shared" si="2"/>
        <v>0</v>
      </c>
    </row>
    <row r="68" spans="1:4">
      <c r="A68" s="116" t="s">
        <v>73</v>
      </c>
      <c r="B68" s="185">
        <v>3552725</v>
      </c>
      <c r="C68" s="111">
        <v>7147725</v>
      </c>
      <c r="D68" s="117">
        <f t="shared" si="2"/>
        <v>10700450</v>
      </c>
    </row>
    <row r="69" spans="1:4">
      <c r="A69" s="116" t="s">
        <v>74</v>
      </c>
      <c r="B69" s="185">
        <v>1717000</v>
      </c>
      <c r="C69" s="111">
        <v>912500</v>
      </c>
      <c r="D69" s="117">
        <f t="shared" si="2"/>
        <v>2629500</v>
      </c>
    </row>
    <row r="70" spans="1:4">
      <c r="A70" s="116" t="s">
        <v>75</v>
      </c>
      <c r="B70" s="185">
        <v>0</v>
      </c>
      <c r="C70" s="111">
        <v>0</v>
      </c>
      <c r="D70" s="117">
        <f t="shared" si="2"/>
        <v>0</v>
      </c>
    </row>
    <row r="71" spans="1:4">
      <c r="A71" s="116" t="s">
        <v>76</v>
      </c>
      <c r="B71" s="185">
        <v>180000</v>
      </c>
      <c r="C71" s="111">
        <v>380000</v>
      </c>
      <c r="D71" s="117">
        <f t="shared" si="2"/>
        <v>560000</v>
      </c>
    </row>
    <row r="72" spans="1:4">
      <c r="A72" s="116" t="s">
        <v>77</v>
      </c>
      <c r="B72" s="185">
        <v>16387320</v>
      </c>
      <c r="C72" s="111">
        <v>24885910</v>
      </c>
      <c r="D72" s="117">
        <f t="shared" si="2"/>
        <v>41273230</v>
      </c>
    </row>
    <row r="73" spans="1:4">
      <c r="A73" s="116" t="s">
        <v>78</v>
      </c>
      <c r="B73" s="185">
        <v>978000</v>
      </c>
      <c r="C73" s="111">
        <v>10000</v>
      </c>
      <c r="D73" s="117">
        <f t="shared" si="2"/>
        <v>988000</v>
      </c>
    </row>
    <row r="74" spans="1:4">
      <c r="A74" s="116" t="s">
        <v>79</v>
      </c>
      <c r="B74" s="185">
        <v>3381000</v>
      </c>
      <c r="C74" s="111">
        <v>2707600</v>
      </c>
      <c r="D74" s="117">
        <f t="shared" si="2"/>
        <v>6088600</v>
      </c>
    </row>
    <row r="75" spans="1:4">
      <c r="A75" s="116" t="s">
        <v>80</v>
      </c>
      <c r="B75" s="185">
        <v>0</v>
      </c>
      <c r="C75" s="111">
        <v>1871000</v>
      </c>
      <c r="D75" s="117">
        <f t="shared" si="2"/>
        <v>1871000</v>
      </c>
    </row>
    <row r="76" spans="1:4">
      <c r="A76" s="116" t="s">
        <v>119</v>
      </c>
      <c r="B76" s="185">
        <v>25000000</v>
      </c>
      <c r="C76" s="111">
        <v>25000000</v>
      </c>
      <c r="D76" s="117">
        <f t="shared" si="2"/>
        <v>50000000</v>
      </c>
    </row>
    <row r="77" spans="1:4" ht="16.3" thickBot="1">
      <c r="A77" s="27" t="s">
        <v>81</v>
      </c>
      <c r="B77" s="114">
        <f>ROUND(SUBTOTAL(9, B40:B76), 5)</f>
        <v>102392029</v>
      </c>
      <c r="C77" s="114">
        <f>ROUND(SUBTOTAL(9, C40:C76), 5)</f>
        <v>105363063</v>
      </c>
      <c r="D77" s="123">
        <f t="shared" si="2"/>
        <v>207755092</v>
      </c>
    </row>
    <row r="78" spans="1:4" s="3" customFormat="1" ht="16.3" thickTop="1">
      <c r="A78" s="6"/>
      <c r="B78" s="9"/>
      <c r="C78" s="9"/>
      <c r="D78" s="119"/>
    </row>
    <row r="79" spans="1:4">
      <c r="A79" s="124" t="s">
        <v>82</v>
      </c>
      <c r="B79" s="115">
        <f>B37-B77</f>
        <v>171875888.73000002</v>
      </c>
      <c r="C79" s="115">
        <f>C37-C77</f>
        <v>109398624.48000002</v>
      </c>
      <c r="D79" s="115">
        <f>D37-D77</f>
        <v>281274513.21000004</v>
      </c>
    </row>
    <row r="80" spans="1:4">
      <c r="A80" s="126"/>
      <c r="D80" s="127"/>
    </row>
    <row r="81" spans="1:4">
      <c r="A81" s="14" t="s">
        <v>104</v>
      </c>
      <c r="B81" s="24"/>
      <c r="C81" s="24"/>
      <c r="D81" s="96"/>
    </row>
    <row r="82" spans="1:4">
      <c r="A82" s="21" t="s">
        <v>37</v>
      </c>
      <c r="B82" s="182">
        <v>-167055500</v>
      </c>
      <c r="C82" s="182">
        <v>-103477500</v>
      </c>
      <c r="D82" s="96">
        <f>B82+C82</f>
        <v>-270533000</v>
      </c>
    </row>
    <row r="83" spans="1:4">
      <c r="A83" s="21" t="s">
        <v>87</v>
      </c>
      <c r="B83" s="42">
        <v>0</v>
      </c>
      <c r="C83" s="42">
        <v>0</v>
      </c>
      <c r="D83" s="96">
        <f>B83+C83</f>
        <v>0</v>
      </c>
    </row>
    <row r="84" spans="1:4">
      <c r="A84" s="36" t="s">
        <v>88</v>
      </c>
      <c r="B84" s="42">
        <v>0</v>
      </c>
      <c r="C84" s="42">
        <v>0</v>
      </c>
      <c r="D84" s="96">
        <f>B84+C84</f>
        <v>0</v>
      </c>
    </row>
    <row r="85" spans="1:4">
      <c r="A85" s="36" t="s">
        <v>38</v>
      </c>
      <c r="B85" s="42">
        <v>0</v>
      </c>
      <c r="C85" s="42">
        <v>0</v>
      </c>
      <c r="D85" s="96">
        <f>B85+C85</f>
        <v>0</v>
      </c>
    </row>
    <row r="86" spans="1:4">
      <c r="A86" s="128" t="s">
        <v>133</v>
      </c>
      <c r="B86" s="43">
        <v>0</v>
      </c>
      <c r="C86" s="43">
        <v>0</v>
      </c>
      <c r="D86" s="129">
        <f>B86+C86</f>
        <v>0</v>
      </c>
    </row>
    <row r="87" spans="1:4">
      <c r="A87" s="36" t="s">
        <v>161</v>
      </c>
      <c r="B87" s="24">
        <v>5044</v>
      </c>
      <c r="C87" s="24">
        <v>0</v>
      </c>
      <c r="D87" s="96"/>
    </row>
    <row r="88" spans="1:4">
      <c r="A88" s="36"/>
      <c r="B88" s="24"/>
      <c r="C88" s="24"/>
      <c r="D88" s="96"/>
    </row>
    <row r="89" spans="1:4">
      <c r="A89" s="194" t="s">
        <v>105</v>
      </c>
      <c r="B89" s="195">
        <f>B83+B84+B86+B82</f>
        <v>-167055500</v>
      </c>
      <c r="C89" s="195">
        <f>C83+C84+C86+C82</f>
        <v>-103477500</v>
      </c>
      <c r="D89" s="196">
        <f>B89+C89</f>
        <v>-270533000</v>
      </c>
    </row>
    <row r="90" spans="1:4">
      <c r="A90" s="21"/>
      <c r="B90" s="24"/>
      <c r="C90" s="24"/>
      <c r="D90" s="96"/>
    </row>
    <row r="91" spans="1:4">
      <c r="A91" s="21"/>
      <c r="B91" s="24"/>
      <c r="C91" s="24"/>
      <c r="D91" s="96"/>
    </row>
    <row r="92" spans="1:4" ht="16.3" thickBot="1">
      <c r="A92" s="38" t="s">
        <v>106</v>
      </c>
      <c r="B92" s="40">
        <f>B79+B89</f>
        <v>4820388.7300000191</v>
      </c>
      <c r="C92" s="40">
        <f>C79+C89</f>
        <v>5921124.4800000191</v>
      </c>
      <c r="D92" s="108">
        <f>D79+D89</f>
        <v>10741513.210000038</v>
      </c>
    </row>
    <row r="93" spans="1:4" ht="16.75" thickTop="1" thickBot="1">
      <c r="A93" s="7"/>
      <c r="B93" s="98"/>
      <c r="C93" s="98"/>
      <c r="D93" s="44"/>
    </row>
    <row r="94" spans="1:4">
      <c r="A94" s="130"/>
      <c r="B94" s="131"/>
      <c r="C94" s="131"/>
      <c r="D94" s="131"/>
    </row>
    <row r="95" spans="1:4">
      <c r="D95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7D25-22A5-40D7-A015-846E6946AC23}">
  <sheetPr>
    <pageSetUpPr fitToPage="1"/>
  </sheetPr>
  <dimension ref="A1:D97"/>
  <sheetViews>
    <sheetView topLeftCell="A69" workbookViewId="0">
      <selection activeCell="C77" sqref="C77"/>
    </sheetView>
  </sheetViews>
  <sheetFormatPr defaultColWidth="9.3046875" defaultRowHeight="15.9"/>
  <cols>
    <col min="1" max="1" width="38" style="20" customWidth="1"/>
    <col min="2" max="3" width="21.69140625" style="20" customWidth="1"/>
    <col min="4" max="4" width="20.3046875" style="23" customWidth="1"/>
    <col min="5" max="5" width="9.3046875" style="20"/>
    <col min="6" max="6" width="9.3828125" style="20" bestFit="1" customWidth="1"/>
    <col min="7" max="16384" width="9.30468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45747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109</v>
      </c>
      <c r="D5" s="99" t="s">
        <v>130</v>
      </c>
    </row>
    <row r="6" spans="1:4">
      <c r="A6" s="116" t="s">
        <v>39</v>
      </c>
      <c r="B6" s="117">
        <v>37792188.209999993</v>
      </c>
      <c r="C6" s="10">
        <v>5921123.5099999998</v>
      </c>
      <c r="D6" s="117">
        <f>B6+C6</f>
        <v>43713311.719999991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2">
        <v>293750</v>
      </c>
      <c r="C8" s="111">
        <v>68400</v>
      </c>
      <c r="D8" s="117">
        <f t="shared" ref="D8:D22" si="0">B8+C8</f>
        <v>362150</v>
      </c>
    </row>
    <row r="9" spans="1:4">
      <c r="A9" s="116" t="s">
        <v>10</v>
      </c>
      <c r="B9" s="42">
        <v>35679541</v>
      </c>
      <c r="C9" s="111">
        <v>16251845</v>
      </c>
      <c r="D9" s="117">
        <f t="shared" si="0"/>
        <v>51931386</v>
      </c>
    </row>
    <row r="10" spans="1:4">
      <c r="A10" s="116" t="s">
        <v>11</v>
      </c>
      <c r="B10" s="42">
        <v>92936044</v>
      </c>
      <c r="C10" s="111">
        <v>26908636</v>
      </c>
      <c r="D10" s="117">
        <f t="shared" si="0"/>
        <v>119844680</v>
      </c>
    </row>
    <row r="11" spans="1:4">
      <c r="A11" s="116" t="s">
        <v>12</v>
      </c>
      <c r="B11" s="42">
        <v>268805208</v>
      </c>
      <c r="C11" s="111">
        <v>38098950</v>
      </c>
      <c r="D11" s="117">
        <f t="shared" si="0"/>
        <v>306904158</v>
      </c>
    </row>
    <row r="12" spans="1:4">
      <c r="A12" s="116" t="s">
        <v>14</v>
      </c>
      <c r="B12" s="42">
        <v>2896298</v>
      </c>
      <c r="C12" s="111">
        <v>870678</v>
      </c>
      <c r="D12" s="117">
        <f t="shared" si="0"/>
        <v>3766976</v>
      </c>
    </row>
    <row r="13" spans="1:4">
      <c r="A13" s="116" t="s">
        <v>132</v>
      </c>
      <c r="B13" s="42">
        <v>0</v>
      </c>
      <c r="C13" s="184"/>
      <c r="D13" s="117">
        <f t="shared" si="0"/>
        <v>0</v>
      </c>
    </row>
    <row r="14" spans="1:4">
      <c r="A14" s="116" t="s">
        <v>15</v>
      </c>
      <c r="B14" s="42">
        <v>14149580</v>
      </c>
      <c r="C14" s="111">
        <v>2735901</v>
      </c>
      <c r="D14" s="117">
        <f t="shared" si="0"/>
        <v>16885481</v>
      </c>
    </row>
    <row r="15" spans="1:4">
      <c r="A15" s="116" t="s">
        <v>16</v>
      </c>
      <c r="B15" s="42">
        <v>33675805</v>
      </c>
      <c r="C15" s="111">
        <v>15844410</v>
      </c>
      <c r="D15" s="117">
        <f t="shared" si="0"/>
        <v>49520215</v>
      </c>
    </row>
    <row r="16" spans="1:4">
      <c r="A16" s="116" t="s">
        <v>17</v>
      </c>
      <c r="B16" s="42">
        <v>0</v>
      </c>
      <c r="C16" s="111">
        <v>0</v>
      </c>
      <c r="D16" s="117">
        <f t="shared" si="0"/>
        <v>0</v>
      </c>
    </row>
    <row r="17" spans="1:4">
      <c r="A17" s="116" t="s">
        <v>21</v>
      </c>
      <c r="B17" s="42">
        <v>669691</v>
      </c>
      <c r="C17" s="111">
        <v>235000</v>
      </c>
      <c r="D17" s="117">
        <f t="shared" si="0"/>
        <v>904691</v>
      </c>
    </row>
    <row r="18" spans="1:4">
      <c r="A18" s="116" t="s">
        <v>22</v>
      </c>
      <c r="B18" s="42">
        <v>606000</v>
      </c>
      <c r="C18" s="111">
        <v>500000</v>
      </c>
      <c r="D18" s="117">
        <f t="shared" si="0"/>
        <v>1106000</v>
      </c>
    </row>
    <row r="19" spans="1:4">
      <c r="A19" s="116" t="s">
        <v>23</v>
      </c>
      <c r="B19" s="42">
        <v>196000</v>
      </c>
      <c r="C19" s="111">
        <v>414000</v>
      </c>
      <c r="D19" s="117">
        <f t="shared" si="0"/>
        <v>610000</v>
      </c>
    </row>
    <row r="20" spans="1:4">
      <c r="A20" s="116" t="s">
        <v>162</v>
      </c>
      <c r="B20" s="42">
        <v>0</v>
      </c>
      <c r="C20" s="111">
        <v>0</v>
      </c>
      <c r="D20" s="117"/>
    </row>
    <row r="21" spans="1:4">
      <c r="A21" s="116" t="s">
        <v>24</v>
      </c>
      <c r="B21" s="42">
        <v>1227500</v>
      </c>
      <c r="C21" s="111">
        <v>651406</v>
      </c>
      <c r="D21" s="117">
        <f t="shared" si="0"/>
        <v>1878906</v>
      </c>
    </row>
    <row r="22" spans="1:4">
      <c r="A22" s="16" t="s">
        <v>41</v>
      </c>
      <c r="B22" s="112">
        <f>B6+B8+B9+B10+B12+B11+B14+B15+B17+B18+B19+B21</f>
        <v>488927605.20999998</v>
      </c>
      <c r="C22" s="112">
        <f>SUM(C6:C21)</f>
        <v>108500349.50999999</v>
      </c>
      <c r="D22" s="118">
        <f t="shared" si="0"/>
        <v>597427954.72000003</v>
      </c>
    </row>
    <row r="23" spans="1:4" s="3" customFormat="1">
      <c r="A23" s="4"/>
      <c r="B23" s="9"/>
      <c r="C23" s="9"/>
      <c r="D23" s="119"/>
    </row>
    <row r="24" spans="1:4" s="3" customFormat="1">
      <c r="A24" s="14" t="s">
        <v>42</v>
      </c>
      <c r="B24" s="9"/>
      <c r="C24" s="9"/>
      <c r="D24" s="119"/>
    </row>
    <row r="25" spans="1:4" s="3" customFormat="1">
      <c r="A25" s="120" t="s">
        <v>18</v>
      </c>
      <c r="B25" s="113">
        <v>0</v>
      </c>
      <c r="C25" s="111">
        <v>0</v>
      </c>
      <c r="D25" s="119">
        <f t="shared" ref="D25:D35" si="1">B25+C25</f>
        <v>0</v>
      </c>
    </row>
    <row r="26" spans="1:4" s="3" customFormat="1">
      <c r="A26" s="121" t="s">
        <v>26</v>
      </c>
      <c r="B26" s="113">
        <v>102000</v>
      </c>
      <c r="C26" s="111">
        <v>0</v>
      </c>
      <c r="D26" s="122">
        <f t="shared" si="1"/>
        <v>102000</v>
      </c>
    </row>
    <row r="27" spans="1:4" s="3" customFormat="1">
      <c r="A27" s="121" t="s">
        <v>27</v>
      </c>
      <c r="B27" s="113">
        <v>0</v>
      </c>
      <c r="C27" s="111">
        <v>0</v>
      </c>
      <c r="D27" s="122">
        <f t="shared" si="1"/>
        <v>0</v>
      </c>
    </row>
    <row r="28" spans="1:4" s="3" customFormat="1">
      <c r="A28" s="121" t="s">
        <v>28</v>
      </c>
      <c r="B28" s="113">
        <v>0</v>
      </c>
      <c r="C28" s="111">
        <v>114000</v>
      </c>
      <c r="D28" s="122">
        <f t="shared" si="1"/>
        <v>114000</v>
      </c>
    </row>
    <row r="29" spans="1:4" s="3" customFormat="1">
      <c r="A29" s="121" t="s">
        <v>29</v>
      </c>
      <c r="B29" s="113">
        <v>0</v>
      </c>
      <c r="C29" s="111">
        <v>175182</v>
      </c>
      <c r="D29" s="122">
        <f t="shared" si="1"/>
        <v>175182</v>
      </c>
    </row>
    <row r="30" spans="1:4" s="3" customFormat="1">
      <c r="A30" s="121" t="s">
        <v>30</v>
      </c>
      <c r="B30" s="113">
        <v>0</v>
      </c>
      <c r="C30" s="111">
        <v>-23871</v>
      </c>
      <c r="D30" s="122">
        <f t="shared" si="1"/>
        <v>-23871</v>
      </c>
    </row>
    <row r="31" spans="1:4" s="3" customFormat="1">
      <c r="A31" s="121" t="s">
        <v>31</v>
      </c>
      <c r="B31" s="113">
        <v>0</v>
      </c>
      <c r="C31" s="111">
        <v>0</v>
      </c>
      <c r="D31" s="122">
        <f t="shared" si="1"/>
        <v>0</v>
      </c>
    </row>
    <row r="32" spans="1:4" s="3" customFormat="1">
      <c r="A32" s="121" t="s">
        <v>32</v>
      </c>
      <c r="B32" s="113">
        <v>0</v>
      </c>
      <c r="C32" s="111">
        <v>318000</v>
      </c>
      <c r="D32" s="122">
        <f t="shared" si="1"/>
        <v>318000</v>
      </c>
    </row>
    <row r="33" spans="1:4" s="3" customFormat="1">
      <c r="A33" s="121" t="s">
        <v>33</v>
      </c>
      <c r="B33" s="113">
        <v>0</v>
      </c>
      <c r="C33" s="111">
        <v>241380</v>
      </c>
      <c r="D33" s="122">
        <f t="shared" si="1"/>
        <v>241380</v>
      </c>
    </row>
    <row r="34" spans="1:4" s="3" customFormat="1">
      <c r="A34" s="121" t="s">
        <v>34</v>
      </c>
      <c r="B34" s="113">
        <v>0</v>
      </c>
      <c r="C34" s="111">
        <v>0</v>
      </c>
      <c r="D34" s="122">
        <f t="shared" si="1"/>
        <v>0</v>
      </c>
    </row>
    <row r="35" spans="1:4" s="3" customFormat="1">
      <c r="A35" s="121" t="s">
        <v>35</v>
      </c>
      <c r="B35" s="113">
        <v>0</v>
      </c>
      <c r="C35" s="111">
        <v>0</v>
      </c>
      <c r="D35" s="122">
        <f t="shared" si="1"/>
        <v>0</v>
      </c>
    </row>
    <row r="36" spans="1:4" s="3" customFormat="1">
      <c r="A36" s="16" t="s">
        <v>43</v>
      </c>
      <c r="B36" s="11">
        <f>SUM(B25:B35)</f>
        <v>102000</v>
      </c>
      <c r="C36" s="11">
        <f>SUM(C25:C35)</f>
        <v>824691</v>
      </c>
      <c r="D36" s="102">
        <f>SUM(D25:D35)</f>
        <v>926691</v>
      </c>
    </row>
    <row r="37" spans="1:4" s="3" customFormat="1">
      <c r="A37" s="4"/>
      <c r="B37" s="9"/>
      <c r="C37" s="9"/>
      <c r="D37" s="119"/>
    </row>
    <row r="38" spans="1:4" s="3" customFormat="1">
      <c r="A38" s="17" t="s">
        <v>36</v>
      </c>
      <c r="B38" s="12">
        <f>B22+B36</f>
        <v>489029605.20999998</v>
      </c>
      <c r="C38" s="12">
        <f>C22+C36</f>
        <v>109325040.50999999</v>
      </c>
      <c r="D38" s="103">
        <f>D22+D36</f>
        <v>598354645.72000003</v>
      </c>
    </row>
    <row r="39" spans="1:4" s="3" customFormat="1">
      <c r="A39" s="4"/>
      <c r="B39" s="9"/>
      <c r="C39" s="9"/>
      <c r="D39" s="119"/>
    </row>
    <row r="40" spans="1:4" s="3" customFormat="1">
      <c r="A40" s="4"/>
      <c r="B40" s="9"/>
      <c r="C40" s="9"/>
      <c r="D40" s="119"/>
    </row>
    <row r="41" spans="1:4">
      <c r="A41" s="14" t="s">
        <v>44</v>
      </c>
      <c r="B41" s="22"/>
      <c r="C41" s="22"/>
      <c r="D41" s="96"/>
    </row>
    <row r="42" spans="1:4">
      <c r="A42" s="133" t="s">
        <v>45</v>
      </c>
      <c r="B42" s="132">
        <v>14782600</v>
      </c>
      <c r="C42" s="111">
        <v>11808610</v>
      </c>
      <c r="D42" s="117">
        <f t="shared" ref="D42:D80" si="2">B42+C42</f>
        <v>26591210</v>
      </c>
    </row>
    <row r="43" spans="1:4">
      <c r="A43" s="116" t="s">
        <v>46</v>
      </c>
      <c r="B43" s="113">
        <v>0</v>
      </c>
      <c r="C43" s="111">
        <v>0</v>
      </c>
      <c r="D43" s="117">
        <f t="shared" si="2"/>
        <v>0</v>
      </c>
    </row>
    <row r="44" spans="1:4">
      <c r="A44" s="116" t="s">
        <v>47</v>
      </c>
      <c r="B44" s="113">
        <v>988497</v>
      </c>
      <c r="C44" s="111">
        <v>362988</v>
      </c>
      <c r="D44" s="117">
        <f t="shared" si="2"/>
        <v>1351485</v>
      </c>
    </row>
    <row r="45" spans="1:4">
      <c r="A45" s="116" t="s">
        <v>48</v>
      </c>
      <c r="B45" s="113">
        <v>5490000</v>
      </c>
      <c r="C45" s="111">
        <v>3520000</v>
      </c>
      <c r="D45" s="117">
        <f t="shared" si="2"/>
        <v>9010000</v>
      </c>
    </row>
    <row r="46" spans="1:4">
      <c r="A46" s="116" t="s">
        <v>49</v>
      </c>
      <c r="B46" s="113">
        <v>750000</v>
      </c>
      <c r="C46" s="111">
        <v>450000</v>
      </c>
      <c r="D46" s="117">
        <f t="shared" si="2"/>
        <v>1200000</v>
      </c>
    </row>
    <row r="47" spans="1:4">
      <c r="A47" s="116" t="s">
        <v>50</v>
      </c>
      <c r="B47" s="113">
        <v>1267060</v>
      </c>
      <c r="C47" s="184">
        <v>0</v>
      </c>
      <c r="D47" s="117">
        <f t="shared" si="2"/>
        <v>1267060</v>
      </c>
    </row>
    <row r="48" spans="1:4">
      <c r="A48" s="116" t="s">
        <v>51</v>
      </c>
      <c r="B48" s="113">
        <v>14356000</v>
      </c>
      <c r="C48" s="111">
        <v>6220000</v>
      </c>
      <c r="D48" s="117">
        <f t="shared" si="2"/>
        <v>20576000</v>
      </c>
    </row>
    <row r="49" spans="1:4">
      <c r="A49" s="116" t="s">
        <v>52</v>
      </c>
      <c r="B49" s="113">
        <v>100000</v>
      </c>
      <c r="C49" s="111">
        <v>228000</v>
      </c>
      <c r="D49" s="117">
        <f t="shared" si="2"/>
        <v>328000</v>
      </c>
    </row>
    <row r="50" spans="1:4">
      <c r="A50" s="116" t="s">
        <v>53</v>
      </c>
      <c r="B50" s="113">
        <v>4953100</v>
      </c>
      <c r="C50" s="111">
        <v>1853900</v>
      </c>
      <c r="D50" s="117">
        <f t="shared" si="2"/>
        <v>6807000</v>
      </c>
    </row>
    <row r="51" spans="1:4">
      <c r="A51" s="116" t="s">
        <v>54</v>
      </c>
      <c r="B51" s="113">
        <v>0</v>
      </c>
      <c r="C51" s="111">
        <v>0</v>
      </c>
      <c r="D51" s="117">
        <f t="shared" si="2"/>
        <v>0</v>
      </c>
    </row>
    <row r="52" spans="1:4">
      <c r="A52" s="116" t="s">
        <v>55</v>
      </c>
      <c r="B52" s="113">
        <v>5758000</v>
      </c>
      <c r="C52" s="111">
        <v>2650000</v>
      </c>
      <c r="D52" s="117">
        <f t="shared" si="2"/>
        <v>8408000</v>
      </c>
    </row>
    <row r="53" spans="1:4">
      <c r="A53" s="116" t="s">
        <v>56</v>
      </c>
      <c r="B53" s="113">
        <v>443000</v>
      </c>
      <c r="C53" s="111">
        <v>1945400</v>
      </c>
      <c r="D53" s="117">
        <f t="shared" si="2"/>
        <v>2388400</v>
      </c>
    </row>
    <row r="54" spans="1:4">
      <c r="A54" s="116" t="s">
        <v>57</v>
      </c>
      <c r="B54" s="113">
        <v>0</v>
      </c>
      <c r="C54" s="184">
        <v>0</v>
      </c>
      <c r="D54" s="117">
        <f t="shared" si="2"/>
        <v>0</v>
      </c>
    </row>
    <row r="55" spans="1:4">
      <c r="A55" s="116" t="s">
        <v>58</v>
      </c>
      <c r="B55" s="113">
        <v>7866000</v>
      </c>
      <c r="C55" s="111">
        <v>5630000</v>
      </c>
      <c r="D55" s="117">
        <f t="shared" si="2"/>
        <v>13496000</v>
      </c>
    </row>
    <row r="56" spans="1:4">
      <c r="A56" s="116" t="s">
        <v>59</v>
      </c>
      <c r="B56" s="113">
        <v>8528000</v>
      </c>
      <c r="C56" s="111">
        <v>3891350</v>
      </c>
      <c r="D56" s="117">
        <f t="shared" si="2"/>
        <v>12419350</v>
      </c>
    </row>
    <row r="57" spans="1:4">
      <c r="A57" s="116" t="s">
        <v>120</v>
      </c>
      <c r="B57" s="113">
        <v>4985775</v>
      </c>
      <c r="C57" s="111">
        <v>2741000</v>
      </c>
      <c r="D57" s="117">
        <f t="shared" si="2"/>
        <v>7726775</v>
      </c>
    </row>
    <row r="58" spans="1:4">
      <c r="A58" s="116" t="s">
        <v>61</v>
      </c>
      <c r="B58" s="113">
        <v>8416900</v>
      </c>
      <c r="C58" s="184">
        <v>0</v>
      </c>
      <c r="D58" s="117">
        <f t="shared" si="2"/>
        <v>8416900</v>
      </c>
    </row>
    <row r="59" spans="1:4">
      <c r="A59" s="116" t="s">
        <v>60</v>
      </c>
      <c r="B59" s="113">
        <v>0</v>
      </c>
      <c r="C59" s="184">
        <v>0</v>
      </c>
      <c r="D59" s="117">
        <f t="shared" si="2"/>
        <v>0</v>
      </c>
    </row>
    <row r="60" spans="1:4">
      <c r="A60" s="116" t="s">
        <v>62</v>
      </c>
      <c r="B60" s="113">
        <v>97400</v>
      </c>
      <c r="C60" s="111">
        <v>944100</v>
      </c>
      <c r="D60" s="117">
        <f t="shared" si="2"/>
        <v>1041500</v>
      </c>
    </row>
    <row r="61" spans="1:4">
      <c r="A61" s="116" t="s">
        <v>63</v>
      </c>
      <c r="B61" s="113">
        <v>600000</v>
      </c>
      <c r="C61" s="111">
        <v>180000</v>
      </c>
      <c r="D61" s="117">
        <f t="shared" si="2"/>
        <v>780000</v>
      </c>
    </row>
    <row r="62" spans="1:4">
      <c r="A62" s="116" t="s">
        <v>64</v>
      </c>
      <c r="B62" s="113">
        <v>4339600</v>
      </c>
      <c r="C62" s="111">
        <v>1886100</v>
      </c>
      <c r="D62" s="117">
        <f t="shared" si="2"/>
        <v>6225700</v>
      </c>
    </row>
    <row r="63" spans="1:4">
      <c r="A63" s="116" t="s">
        <v>65</v>
      </c>
      <c r="B63" s="113">
        <v>0</v>
      </c>
      <c r="C63" s="111">
        <v>1154720</v>
      </c>
      <c r="D63" s="117">
        <f t="shared" si="2"/>
        <v>1154720</v>
      </c>
    </row>
    <row r="64" spans="1:4">
      <c r="A64" s="116" t="s">
        <v>66</v>
      </c>
      <c r="B64" s="113">
        <v>2407000</v>
      </c>
      <c r="C64" s="111">
        <v>200000</v>
      </c>
      <c r="D64" s="117">
        <f t="shared" si="2"/>
        <v>2607000</v>
      </c>
    </row>
    <row r="65" spans="1:4">
      <c r="A65" s="116" t="s">
        <v>67</v>
      </c>
      <c r="B65" s="113">
        <v>1700000</v>
      </c>
      <c r="C65" s="111">
        <v>230000</v>
      </c>
      <c r="D65" s="117">
        <f t="shared" si="2"/>
        <v>1930000</v>
      </c>
    </row>
    <row r="66" spans="1:4">
      <c r="A66" s="116" t="s">
        <v>68</v>
      </c>
      <c r="B66" s="113">
        <v>3072130</v>
      </c>
      <c r="C66" s="111">
        <v>2264050</v>
      </c>
      <c r="D66" s="117">
        <f t="shared" si="2"/>
        <v>5336180</v>
      </c>
    </row>
    <row r="67" spans="1:4">
      <c r="A67" s="116" t="s">
        <v>69</v>
      </c>
      <c r="B67" s="113">
        <v>2743250</v>
      </c>
      <c r="C67" s="184">
        <v>0</v>
      </c>
      <c r="D67" s="117">
        <f t="shared" si="2"/>
        <v>2743250</v>
      </c>
    </row>
    <row r="68" spans="1:4">
      <c r="A68" s="116" t="s">
        <v>71</v>
      </c>
      <c r="B68" s="113">
        <v>0</v>
      </c>
      <c r="C68" s="184">
        <v>0</v>
      </c>
      <c r="D68" s="117">
        <f t="shared" si="2"/>
        <v>0</v>
      </c>
    </row>
    <row r="69" spans="1:4">
      <c r="A69" s="116" t="s">
        <v>70</v>
      </c>
      <c r="B69" s="113">
        <v>0</v>
      </c>
      <c r="C69" s="184">
        <v>0</v>
      </c>
      <c r="D69" s="117">
        <f t="shared" si="2"/>
        <v>0</v>
      </c>
    </row>
    <row r="70" spans="1:4">
      <c r="A70" s="116" t="s">
        <v>72</v>
      </c>
      <c r="B70" s="113">
        <v>0</v>
      </c>
      <c r="C70" s="184">
        <v>0</v>
      </c>
      <c r="D70" s="117">
        <f t="shared" si="2"/>
        <v>0</v>
      </c>
    </row>
    <row r="71" spans="1:4">
      <c r="A71" s="116" t="s">
        <v>73</v>
      </c>
      <c r="B71" s="113">
        <v>10700450</v>
      </c>
      <c r="C71" s="111">
        <v>3347725</v>
      </c>
      <c r="D71" s="117">
        <f t="shared" si="2"/>
        <v>14048175</v>
      </c>
    </row>
    <row r="72" spans="1:4">
      <c r="A72" s="116" t="s">
        <v>74</v>
      </c>
      <c r="B72" s="113">
        <v>2629500</v>
      </c>
      <c r="C72" s="111">
        <v>3148000</v>
      </c>
      <c r="D72" s="117">
        <f t="shared" si="2"/>
        <v>5777500</v>
      </c>
    </row>
    <row r="73" spans="1:4">
      <c r="A73" s="116" t="s">
        <v>75</v>
      </c>
      <c r="B73" s="113">
        <v>0</v>
      </c>
      <c r="C73" s="184">
        <v>0</v>
      </c>
      <c r="D73" s="117">
        <f t="shared" si="2"/>
        <v>0</v>
      </c>
    </row>
    <row r="74" spans="1:4">
      <c r="A74" s="116" t="s">
        <v>76</v>
      </c>
      <c r="B74" s="113">
        <v>560000</v>
      </c>
      <c r="C74" s="111">
        <v>360000</v>
      </c>
      <c r="D74" s="117">
        <f t="shared" si="2"/>
        <v>920000</v>
      </c>
    </row>
    <row r="75" spans="1:4">
      <c r="A75" s="116" t="s">
        <v>77</v>
      </c>
      <c r="B75" s="113">
        <v>41273230</v>
      </c>
      <c r="C75" s="111">
        <v>26859350</v>
      </c>
      <c r="D75" s="117">
        <f t="shared" si="2"/>
        <v>68132580</v>
      </c>
    </row>
    <row r="76" spans="1:4">
      <c r="A76" s="116" t="s">
        <v>78</v>
      </c>
      <c r="B76" s="113">
        <v>988000</v>
      </c>
      <c r="C76" s="111">
        <v>0</v>
      </c>
      <c r="D76" s="117">
        <f t="shared" si="2"/>
        <v>988000</v>
      </c>
    </row>
    <row r="77" spans="1:4">
      <c r="A77" s="116" t="s">
        <v>79</v>
      </c>
      <c r="B77" s="113">
        <v>6088600</v>
      </c>
      <c r="C77" s="111">
        <v>1390000</v>
      </c>
      <c r="D77" s="117">
        <f t="shared" si="2"/>
        <v>7478600</v>
      </c>
    </row>
    <row r="78" spans="1:4">
      <c r="A78" s="116" t="s">
        <v>80</v>
      </c>
      <c r="B78" s="113">
        <v>1871000</v>
      </c>
      <c r="C78" s="111">
        <v>150000</v>
      </c>
      <c r="D78" s="117">
        <f t="shared" si="2"/>
        <v>2021000</v>
      </c>
    </row>
    <row r="79" spans="1:4">
      <c r="A79" s="116" t="s">
        <v>119</v>
      </c>
      <c r="B79" s="113">
        <v>50000000</v>
      </c>
      <c r="C79" s="111">
        <v>5000000</v>
      </c>
      <c r="D79" s="117">
        <f t="shared" si="2"/>
        <v>55000000</v>
      </c>
    </row>
    <row r="80" spans="1:4" ht="16.3" thickBot="1">
      <c r="A80" s="27" t="s">
        <v>81</v>
      </c>
      <c r="B80" s="114">
        <f>ROUND(SUBTOTAL(9, B41:B79), 5)</f>
        <v>207755092</v>
      </c>
      <c r="C80" s="114">
        <f>ROUND(SUBTOTAL(9, C41:C79), 5)</f>
        <v>88415293</v>
      </c>
      <c r="D80" s="123">
        <f t="shared" si="2"/>
        <v>296170385</v>
      </c>
    </row>
    <row r="81" spans="1:4" s="3" customFormat="1" ht="16.3" thickTop="1">
      <c r="A81" s="6"/>
      <c r="B81" s="9"/>
      <c r="C81" s="9"/>
      <c r="D81" s="119"/>
    </row>
    <row r="82" spans="1:4">
      <c r="A82" s="124" t="s">
        <v>82</v>
      </c>
      <c r="B82" s="115">
        <f>(ROUND(B38-B80, 5))</f>
        <v>281274513.20999998</v>
      </c>
      <c r="C82" s="115">
        <f>C38-C80</f>
        <v>20909747.50999999</v>
      </c>
      <c r="D82" s="115">
        <f>(ROUND((D6+D38)-D80, 5))</f>
        <v>345897572.44</v>
      </c>
    </row>
    <row r="83" spans="1:4">
      <c r="A83" s="126"/>
      <c r="D83" s="127"/>
    </row>
    <row r="84" spans="1:4">
      <c r="A84" s="14" t="s">
        <v>104</v>
      </c>
      <c r="B84" s="24"/>
      <c r="C84" s="24"/>
      <c r="D84" s="96"/>
    </row>
    <row r="85" spans="1:4">
      <c r="A85" s="21" t="s">
        <v>37</v>
      </c>
      <c r="B85" s="42">
        <v>-270533000</v>
      </c>
      <c r="C85" s="182">
        <v>-15660000</v>
      </c>
      <c r="D85" s="96">
        <f>B85+C85</f>
        <v>-286193000</v>
      </c>
    </row>
    <row r="86" spans="1:4">
      <c r="A86" s="21" t="s">
        <v>87</v>
      </c>
      <c r="B86" s="42">
        <v>0</v>
      </c>
      <c r="C86" s="42">
        <v>0</v>
      </c>
      <c r="D86" s="96">
        <f>B86+C86</f>
        <v>0</v>
      </c>
    </row>
    <row r="87" spans="1:4">
      <c r="A87" s="36" t="s">
        <v>88</v>
      </c>
      <c r="B87" s="42">
        <v>0</v>
      </c>
      <c r="C87" s="42">
        <v>-474600</v>
      </c>
      <c r="D87" s="96">
        <f>B87+C87</f>
        <v>-474600</v>
      </c>
    </row>
    <row r="88" spans="1:4">
      <c r="A88" s="36" t="s">
        <v>38</v>
      </c>
      <c r="B88" s="42">
        <v>0</v>
      </c>
      <c r="C88" s="42"/>
      <c r="D88" s="96">
        <f>B88+C88</f>
        <v>0</v>
      </c>
    </row>
    <row r="89" spans="1:4">
      <c r="A89" s="128" t="s">
        <v>133</v>
      </c>
      <c r="B89" s="43">
        <v>0</v>
      </c>
      <c r="C89" s="43">
        <v>531511.91</v>
      </c>
      <c r="D89" s="129">
        <f>B89+C89</f>
        <v>531511.91</v>
      </c>
    </row>
    <row r="90" spans="1:4">
      <c r="A90" s="36" t="s">
        <v>163</v>
      </c>
      <c r="B90" s="24"/>
      <c r="C90" s="24"/>
      <c r="D90" s="96"/>
    </row>
    <row r="91" spans="1:4">
      <c r="A91" s="32" t="s">
        <v>105</v>
      </c>
      <c r="B91" s="35">
        <f>B86+B87+B89+B85</f>
        <v>-270533000</v>
      </c>
      <c r="C91" s="35">
        <f>C86+C87+C89+C85+C88</f>
        <v>-15603088.09</v>
      </c>
      <c r="D91" s="97">
        <f>B91+C91</f>
        <v>-286136088.08999997</v>
      </c>
    </row>
    <row r="92" spans="1:4">
      <c r="A92" s="21"/>
      <c r="B92" s="24"/>
      <c r="C92" s="24"/>
      <c r="D92" s="96"/>
    </row>
    <row r="93" spans="1:4">
      <c r="A93" s="21"/>
      <c r="B93" s="24"/>
      <c r="C93" s="24"/>
      <c r="D93" s="96"/>
    </row>
    <row r="94" spans="1:4" ht="16.3" thickBot="1">
      <c r="A94" s="38" t="s">
        <v>106</v>
      </c>
      <c r="B94" s="40">
        <f>B82+B91</f>
        <v>10741513.209999979</v>
      </c>
      <c r="C94" s="40">
        <f>C82+C91</f>
        <v>5306659.4199999906</v>
      </c>
      <c r="D94" s="108">
        <f>D82+D91</f>
        <v>59761484.350000024</v>
      </c>
    </row>
    <row r="95" spans="1:4" ht="16.75" thickTop="1" thickBot="1">
      <c r="A95" s="7"/>
      <c r="B95" s="98"/>
      <c r="C95" s="98"/>
      <c r="D95" s="44"/>
    </row>
    <row r="96" spans="1:4">
      <c r="A96" s="130"/>
      <c r="B96" s="131"/>
      <c r="C96" s="131"/>
      <c r="D96" s="131"/>
    </row>
    <row r="97" spans="4:4">
      <c r="D97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CE13-924E-4B80-9637-D0E95DCC452A}">
  <sheetPr>
    <pageSetUpPr fitToPage="1"/>
  </sheetPr>
  <dimension ref="A1:D95"/>
  <sheetViews>
    <sheetView topLeftCell="A12" workbookViewId="0">
      <selection activeCell="C6" sqref="C6"/>
    </sheetView>
  </sheetViews>
  <sheetFormatPr defaultColWidth="9.3046875" defaultRowHeight="15.9"/>
  <cols>
    <col min="1" max="1" width="38" style="20" customWidth="1"/>
    <col min="2" max="3" width="21.69140625" style="20" customWidth="1"/>
    <col min="4" max="4" width="20.3046875" style="23" customWidth="1"/>
    <col min="5" max="16384" width="9.30468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45777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110</v>
      </c>
      <c r="D5" s="99" t="s">
        <v>130</v>
      </c>
    </row>
    <row r="6" spans="1:4">
      <c r="A6" s="116" t="s">
        <v>39</v>
      </c>
      <c r="B6" s="117">
        <v>43713311.719999991</v>
      </c>
      <c r="C6" s="10">
        <v>4774147.8</v>
      </c>
      <c r="D6" s="117">
        <f>B6+C6</f>
        <v>48487459.519999988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2">
        <v>362150</v>
      </c>
      <c r="C8" s="111">
        <v>354410</v>
      </c>
      <c r="D8" s="117">
        <f t="shared" ref="D8:D21" si="0">B8+C8</f>
        <v>716560</v>
      </c>
    </row>
    <row r="9" spans="1:4">
      <c r="A9" s="116" t="s">
        <v>10</v>
      </c>
      <c r="B9" s="42">
        <v>51931386</v>
      </c>
      <c r="C9" s="111">
        <v>15344866</v>
      </c>
      <c r="D9" s="117">
        <f t="shared" si="0"/>
        <v>67276252</v>
      </c>
    </row>
    <row r="10" spans="1:4">
      <c r="A10" s="116" t="s">
        <v>11</v>
      </c>
      <c r="B10" s="42">
        <v>119844680</v>
      </c>
      <c r="C10" s="111">
        <v>166463408</v>
      </c>
      <c r="D10" s="117">
        <f t="shared" si="0"/>
        <v>286308088</v>
      </c>
    </row>
    <row r="11" spans="1:4">
      <c r="A11" s="116" t="s">
        <v>12</v>
      </c>
      <c r="B11" s="42">
        <v>306904158</v>
      </c>
      <c r="C11" s="111">
        <v>42639956</v>
      </c>
      <c r="D11" s="117">
        <f t="shared" si="0"/>
        <v>349544114</v>
      </c>
    </row>
    <row r="12" spans="1:4">
      <c r="A12" s="116" t="s">
        <v>14</v>
      </c>
      <c r="B12" s="42">
        <v>3766976</v>
      </c>
      <c r="C12" s="111">
        <v>733479</v>
      </c>
      <c r="D12" s="117">
        <f t="shared" si="0"/>
        <v>4500455</v>
      </c>
    </row>
    <row r="13" spans="1:4">
      <c r="A13" s="116" t="s">
        <v>132</v>
      </c>
      <c r="B13" s="42">
        <v>0</v>
      </c>
      <c r="C13" s="111">
        <v>0</v>
      </c>
      <c r="D13" s="117">
        <f t="shared" si="0"/>
        <v>0</v>
      </c>
    </row>
    <row r="14" spans="1:4">
      <c r="A14" s="116" t="s">
        <v>15</v>
      </c>
      <c r="B14" s="42">
        <v>16885481</v>
      </c>
      <c r="C14" s="111">
        <v>7963104</v>
      </c>
      <c r="D14" s="117">
        <f t="shared" si="0"/>
        <v>24848585</v>
      </c>
    </row>
    <row r="15" spans="1:4">
      <c r="A15" s="116" t="s">
        <v>16</v>
      </c>
      <c r="B15" s="42">
        <v>49520215</v>
      </c>
      <c r="C15" s="111">
        <v>19904653</v>
      </c>
      <c r="D15" s="117">
        <f t="shared" si="0"/>
        <v>69424868</v>
      </c>
    </row>
    <row r="16" spans="1:4">
      <c r="A16" s="116" t="s">
        <v>17</v>
      </c>
      <c r="B16" s="42">
        <v>0</v>
      </c>
      <c r="C16" s="111">
        <v>2000</v>
      </c>
      <c r="D16" s="117">
        <f t="shared" si="0"/>
        <v>2000</v>
      </c>
    </row>
    <row r="17" spans="1:4">
      <c r="A17" s="116" t="s">
        <v>21</v>
      </c>
      <c r="B17" s="42">
        <v>904691</v>
      </c>
      <c r="C17" s="111">
        <v>230500</v>
      </c>
      <c r="D17" s="117">
        <f t="shared" si="0"/>
        <v>1135191</v>
      </c>
    </row>
    <row r="18" spans="1:4">
      <c r="A18" s="116" t="s">
        <v>22</v>
      </c>
      <c r="B18" s="42">
        <v>1106000</v>
      </c>
      <c r="C18" s="111">
        <v>823000</v>
      </c>
      <c r="D18" s="117">
        <f t="shared" si="0"/>
        <v>1929000</v>
      </c>
    </row>
    <row r="19" spans="1:4">
      <c r="A19" s="116" t="s">
        <v>23</v>
      </c>
      <c r="B19" s="42">
        <v>610000</v>
      </c>
      <c r="C19" s="111">
        <v>343000</v>
      </c>
      <c r="D19" s="117">
        <f t="shared" si="0"/>
        <v>953000</v>
      </c>
    </row>
    <row r="20" spans="1:4">
      <c r="A20" s="116" t="s">
        <v>164</v>
      </c>
      <c r="B20" s="42"/>
      <c r="C20" s="111">
        <v>220000</v>
      </c>
      <c r="D20" s="117"/>
    </row>
    <row r="21" spans="1:4">
      <c r="A21" s="116" t="s">
        <v>24</v>
      </c>
      <c r="B21" s="42">
        <v>1878906</v>
      </c>
      <c r="C21" s="111">
        <v>700000</v>
      </c>
      <c r="D21" s="117">
        <f t="shared" si="0"/>
        <v>2578906</v>
      </c>
    </row>
    <row r="22" spans="1:4">
      <c r="A22" s="16" t="s">
        <v>41</v>
      </c>
      <c r="B22" s="26">
        <f>SUM(B6:B21)</f>
        <v>597427954.72000003</v>
      </c>
      <c r="C22" s="112">
        <f>SUM(C6:C21)</f>
        <v>260496523.80000001</v>
      </c>
      <c r="D22" s="118">
        <f>SUM(D6:D21)</f>
        <v>857704478.51999998</v>
      </c>
    </row>
    <row r="23" spans="1:4" s="3" customFormat="1">
      <c r="A23" s="4"/>
      <c r="B23" s="9"/>
      <c r="C23" s="9"/>
      <c r="D23" s="119"/>
    </row>
    <row r="24" spans="1:4" s="3" customFormat="1">
      <c r="A24" s="14" t="s">
        <v>42</v>
      </c>
      <c r="B24" s="9"/>
      <c r="C24" s="9"/>
      <c r="D24" s="119"/>
    </row>
    <row r="25" spans="1:4" s="3" customFormat="1">
      <c r="A25" s="120" t="s">
        <v>18</v>
      </c>
      <c r="B25" s="113">
        <v>0</v>
      </c>
      <c r="C25" s="111">
        <v>0</v>
      </c>
      <c r="D25" s="119">
        <f t="shared" ref="D25:D35" si="1">B25+C25</f>
        <v>0</v>
      </c>
    </row>
    <row r="26" spans="1:4" s="3" customFormat="1">
      <c r="A26" s="121" t="s">
        <v>26</v>
      </c>
      <c r="B26" s="113">
        <v>102000</v>
      </c>
      <c r="C26" s="111">
        <v>0</v>
      </c>
      <c r="D26" s="122">
        <f t="shared" si="1"/>
        <v>102000</v>
      </c>
    </row>
    <row r="27" spans="1:4" s="3" customFormat="1">
      <c r="A27" s="121" t="s">
        <v>27</v>
      </c>
      <c r="B27" s="113">
        <v>0</v>
      </c>
      <c r="C27" s="111">
        <v>0</v>
      </c>
      <c r="D27" s="122">
        <f t="shared" si="1"/>
        <v>0</v>
      </c>
    </row>
    <row r="28" spans="1:4" s="3" customFormat="1">
      <c r="A28" s="121" t="s">
        <v>28</v>
      </c>
      <c r="B28" s="113">
        <v>114000</v>
      </c>
      <c r="C28" s="111">
        <v>149000</v>
      </c>
      <c r="D28" s="122">
        <f t="shared" si="1"/>
        <v>263000</v>
      </c>
    </row>
    <row r="29" spans="1:4" s="3" customFormat="1">
      <c r="A29" s="121" t="s">
        <v>29</v>
      </c>
      <c r="B29" s="113">
        <v>175182</v>
      </c>
      <c r="C29" s="111">
        <v>112256</v>
      </c>
      <c r="D29" s="122">
        <f t="shared" si="1"/>
        <v>287438</v>
      </c>
    </row>
    <row r="30" spans="1:4" s="3" customFormat="1">
      <c r="A30" s="121" t="s">
        <v>30</v>
      </c>
      <c r="B30" s="113">
        <v>-23871</v>
      </c>
      <c r="C30" s="111">
        <v>117918</v>
      </c>
      <c r="D30" s="122">
        <f t="shared" si="1"/>
        <v>94047</v>
      </c>
    </row>
    <row r="31" spans="1:4" s="3" customFormat="1">
      <c r="A31" s="121" t="s">
        <v>31</v>
      </c>
      <c r="B31" s="113">
        <v>0</v>
      </c>
      <c r="C31" s="111">
        <v>80000</v>
      </c>
      <c r="D31" s="122">
        <f t="shared" si="1"/>
        <v>80000</v>
      </c>
    </row>
    <row r="32" spans="1:4" s="3" customFormat="1">
      <c r="A32" s="121" t="s">
        <v>32</v>
      </c>
      <c r="B32" s="113">
        <v>318000</v>
      </c>
      <c r="C32" s="111">
        <v>0</v>
      </c>
      <c r="D32" s="122">
        <f t="shared" si="1"/>
        <v>318000</v>
      </c>
    </row>
    <row r="33" spans="1:4" s="3" customFormat="1">
      <c r="A33" s="121" t="s">
        <v>33</v>
      </c>
      <c r="B33" s="113">
        <v>241380</v>
      </c>
      <c r="C33" s="111">
        <v>112500</v>
      </c>
      <c r="D33" s="122">
        <f t="shared" si="1"/>
        <v>353880</v>
      </c>
    </row>
    <row r="34" spans="1:4" s="3" customFormat="1">
      <c r="A34" s="121" t="s">
        <v>34</v>
      </c>
      <c r="B34" s="113">
        <v>0</v>
      </c>
      <c r="C34" s="111">
        <v>655000</v>
      </c>
      <c r="D34" s="122">
        <f t="shared" si="1"/>
        <v>655000</v>
      </c>
    </row>
    <row r="35" spans="1:4" s="3" customFormat="1">
      <c r="A35" s="121" t="s">
        <v>35</v>
      </c>
      <c r="B35" s="113">
        <v>0</v>
      </c>
      <c r="C35" s="111">
        <v>25000</v>
      </c>
      <c r="D35" s="122">
        <f t="shared" si="1"/>
        <v>25000</v>
      </c>
    </row>
    <row r="36" spans="1:4" s="3" customFormat="1">
      <c r="A36" s="16" t="s">
        <v>43</v>
      </c>
      <c r="B36" s="11">
        <f>SUM(B25:B35)</f>
        <v>926691</v>
      </c>
      <c r="C36" s="11">
        <f>SUM(C25:C35)</f>
        <v>1251674</v>
      </c>
      <c r="D36" s="102">
        <f>SUM(D25:D35)</f>
        <v>2178365</v>
      </c>
    </row>
    <row r="37" spans="1:4" s="3" customFormat="1">
      <c r="A37" s="4"/>
      <c r="B37" s="9"/>
      <c r="C37" s="9"/>
      <c r="D37" s="119"/>
    </row>
    <row r="38" spans="1:4" s="3" customFormat="1">
      <c r="A38" s="17" t="s">
        <v>36</v>
      </c>
      <c r="B38" s="12">
        <f>B22+B36</f>
        <v>598354645.72000003</v>
      </c>
      <c r="C38" s="12">
        <f>C22+C36</f>
        <v>261748197.80000001</v>
      </c>
      <c r="D38" s="103">
        <f>D22+D36</f>
        <v>859882843.51999998</v>
      </c>
    </row>
    <row r="39" spans="1:4" s="3" customFormat="1">
      <c r="A39" s="4"/>
      <c r="B39" s="9"/>
      <c r="C39" s="9"/>
      <c r="D39" s="119"/>
    </row>
    <row r="40" spans="1:4" s="3" customFormat="1">
      <c r="A40" s="4"/>
      <c r="B40" s="9"/>
      <c r="C40" s="9"/>
      <c r="D40" s="119"/>
    </row>
    <row r="41" spans="1:4">
      <c r="A41" s="14" t="s">
        <v>44</v>
      </c>
      <c r="B41" s="22"/>
      <c r="C41" s="22"/>
      <c r="D41" s="96"/>
    </row>
    <row r="42" spans="1:4">
      <c r="A42" s="133" t="s">
        <v>45</v>
      </c>
      <c r="B42" s="132">
        <v>26591210</v>
      </c>
      <c r="C42" s="111">
        <v>8027430</v>
      </c>
      <c r="D42" s="117">
        <f t="shared" ref="D42:D78" si="2">B42+C42</f>
        <v>34618640</v>
      </c>
    </row>
    <row r="43" spans="1:4">
      <c r="A43" s="116" t="s">
        <v>46</v>
      </c>
      <c r="B43" s="113">
        <v>0</v>
      </c>
      <c r="C43" s="111">
        <v>0</v>
      </c>
      <c r="D43" s="117">
        <f t="shared" si="2"/>
        <v>0</v>
      </c>
    </row>
    <row r="44" spans="1:4">
      <c r="A44" s="116" t="s">
        <v>47</v>
      </c>
      <c r="B44" s="113">
        <v>1351485</v>
      </c>
      <c r="C44" s="111">
        <v>572285</v>
      </c>
      <c r="D44" s="117">
        <f t="shared" si="2"/>
        <v>1923770</v>
      </c>
    </row>
    <row r="45" spans="1:4">
      <c r="A45" s="116" t="s">
        <v>48</v>
      </c>
      <c r="B45" s="113">
        <v>9010000</v>
      </c>
      <c r="C45" s="111">
        <v>3608000</v>
      </c>
      <c r="D45" s="117">
        <f t="shared" si="2"/>
        <v>12618000</v>
      </c>
    </row>
    <row r="46" spans="1:4">
      <c r="A46" s="116" t="s">
        <v>49</v>
      </c>
      <c r="B46" s="113">
        <v>1200000</v>
      </c>
      <c r="C46" s="111">
        <v>400000</v>
      </c>
      <c r="D46" s="117">
        <f t="shared" si="2"/>
        <v>1600000</v>
      </c>
    </row>
    <row r="47" spans="1:4">
      <c r="A47" s="116" t="s">
        <v>50</v>
      </c>
      <c r="B47" s="113">
        <v>1267060</v>
      </c>
      <c r="C47" s="111">
        <v>795820</v>
      </c>
      <c r="D47" s="117">
        <f t="shared" si="2"/>
        <v>2062880</v>
      </c>
    </row>
    <row r="48" spans="1:4">
      <c r="A48" s="116" t="s">
        <v>51</v>
      </c>
      <c r="B48" s="113">
        <v>20576000</v>
      </c>
      <c r="C48" s="111">
        <v>9720000</v>
      </c>
      <c r="D48" s="117">
        <f t="shared" si="2"/>
        <v>30296000</v>
      </c>
    </row>
    <row r="49" spans="1:4">
      <c r="A49" s="116" t="s">
        <v>52</v>
      </c>
      <c r="B49" s="113">
        <v>328000</v>
      </c>
      <c r="C49" s="111">
        <v>50000</v>
      </c>
      <c r="D49" s="117">
        <f t="shared" si="2"/>
        <v>378000</v>
      </c>
    </row>
    <row r="50" spans="1:4">
      <c r="A50" s="116" t="s">
        <v>53</v>
      </c>
      <c r="B50" s="113">
        <v>6807000</v>
      </c>
      <c r="C50" s="111">
        <v>1961000</v>
      </c>
      <c r="D50" s="117">
        <f t="shared" si="2"/>
        <v>8768000</v>
      </c>
    </row>
    <row r="51" spans="1:4">
      <c r="A51" s="116" t="s">
        <v>54</v>
      </c>
      <c r="B51" s="113">
        <v>0</v>
      </c>
      <c r="C51" s="111">
        <v>2000000</v>
      </c>
      <c r="D51" s="117">
        <f t="shared" si="2"/>
        <v>2000000</v>
      </c>
    </row>
    <row r="52" spans="1:4">
      <c r="A52" s="116" t="s">
        <v>55</v>
      </c>
      <c r="B52" s="113">
        <v>8408000</v>
      </c>
      <c r="C52" s="111">
        <v>3418000</v>
      </c>
      <c r="D52" s="117">
        <f t="shared" si="2"/>
        <v>11826000</v>
      </c>
    </row>
    <row r="53" spans="1:4">
      <c r="A53" s="116" t="s">
        <v>56</v>
      </c>
      <c r="B53" s="113">
        <v>2388400</v>
      </c>
      <c r="C53" s="111">
        <v>725000</v>
      </c>
      <c r="D53" s="117">
        <f t="shared" si="2"/>
        <v>3113400</v>
      </c>
    </row>
    <row r="54" spans="1:4">
      <c r="A54" s="116" t="s">
        <v>58</v>
      </c>
      <c r="B54" s="113">
        <v>0</v>
      </c>
      <c r="C54" s="111">
        <v>5000000</v>
      </c>
      <c r="D54" s="117">
        <f t="shared" si="2"/>
        <v>5000000</v>
      </c>
    </row>
    <row r="55" spans="1:4">
      <c r="A55" s="116" t="s">
        <v>59</v>
      </c>
      <c r="B55" s="113">
        <v>13496000</v>
      </c>
      <c r="C55" s="111">
        <v>750000</v>
      </c>
      <c r="D55" s="117">
        <f t="shared" si="2"/>
        <v>14246000</v>
      </c>
    </row>
    <row r="56" spans="1:4">
      <c r="A56" s="116" t="s">
        <v>120</v>
      </c>
      <c r="B56" s="113">
        <v>12419350</v>
      </c>
      <c r="C56" s="111">
        <v>1807250</v>
      </c>
      <c r="D56" s="117">
        <f t="shared" si="2"/>
        <v>14226600</v>
      </c>
    </row>
    <row r="57" spans="1:4">
      <c r="A57" s="116" t="s">
        <v>61</v>
      </c>
      <c r="B57" s="113">
        <v>7726775</v>
      </c>
      <c r="C57" s="111">
        <v>3516250</v>
      </c>
      <c r="D57" s="117">
        <f t="shared" si="2"/>
        <v>11243025</v>
      </c>
    </row>
    <row r="58" spans="1:4">
      <c r="A58" s="116" t="s">
        <v>60</v>
      </c>
      <c r="B58" s="113">
        <v>8416900</v>
      </c>
      <c r="C58" s="111">
        <v>1500000</v>
      </c>
      <c r="D58" s="117">
        <f t="shared" si="2"/>
        <v>9916900</v>
      </c>
    </row>
    <row r="59" spans="1:4">
      <c r="A59" s="116" t="s">
        <v>62</v>
      </c>
      <c r="B59" s="113">
        <v>0</v>
      </c>
      <c r="C59" s="111">
        <v>0</v>
      </c>
      <c r="D59" s="117">
        <f t="shared" si="2"/>
        <v>0</v>
      </c>
    </row>
    <row r="60" spans="1:4">
      <c r="A60" s="116" t="s">
        <v>63</v>
      </c>
      <c r="B60" s="113">
        <v>1041500</v>
      </c>
      <c r="C60" s="111">
        <v>0</v>
      </c>
      <c r="D60" s="117">
        <f t="shared" si="2"/>
        <v>1041500</v>
      </c>
    </row>
    <row r="61" spans="1:4">
      <c r="A61" s="116" t="s">
        <v>64</v>
      </c>
      <c r="B61" s="113">
        <v>780000</v>
      </c>
      <c r="C61" s="111">
        <v>0</v>
      </c>
      <c r="D61" s="117">
        <f t="shared" si="2"/>
        <v>780000</v>
      </c>
    </row>
    <row r="62" spans="1:4">
      <c r="A62" s="116" t="s">
        <v>65</v>
      </c>
      <c r="B62" s="113">
        <v>6225700</v>
      </c>
      <c r="C62" s="111">
        <v>2587400</v>
      </c>
      <c r="D62" s="117">
        <f t="shared" si="2"/>
        <v>8813100</v>
      </c>
    </row>
    <row r="63" spans="1:4">
      <c r="A63" s="116" t="s">
        <v>66</v>
      </c>
      <c r="B63" s="113">
        <v>1154720</v>
      </c>
      <c r="C63" s="111">
        <v>0</v>
      </c>
      <c r="D63" s="117">
        <f t="shared" si="2"/>
        <v>1154720</v>
      </c>
    </row>
    <row r="64" spans="1:4">
      <c r="A64" s="116" t="s">
        <v>67</v>
      </c>
      <c r="B64" s="113">
        <v>2607000</v>
      </c>
      <c r="C64" s="111">
        <v>0</v>
      </c>
      <c r="D64" s="117">
        <f t="shared" si="2"/>
        <v>2607000</v>
      </c>
    </row>
    <row r="65" spans="1:4">
      <c r="A65" s="116" t="s">
        <v>68</v>
      </c>
      <c r="B65" s="113">
        <v>1930000</v>
      </c>
      <c r="C65" s="111">
        <v>1130000</v>
      </c>
      <c r="D65" s="117">
        <f t="shared" si="2"/>
        <v>3060000</v>
      </c>
    </row>
    <row r="66" spans="1:4">
      <c r="A66" s="116" t="s">
        <v>69</v>
      </c>
      <c r="B66" s="113">
        <v>5336180</v>
      </c>
      <c r="C66" s="111">
        <v>32258900</v>
      </c>
      <c r="D66" s="117">
        <f t="shared" si="2"/>
        <v>37595080</v>
      </c>
    </row>
    <row r="67" spans="1:4">
      <c r="A67" s="116" t="s">
        <v>71</v>
      </c>
      <c r="B67" s="113">
        <v>2743250</v>
      </c>
      <c r="C67" s="111">
        <v>290200</v>
      </c>
      <c r="D67" s="117">
        <f t="shared" si="2"/>
        <v>3033450</v>
      </c>
    </row>
    <row r="68" spans="1:4">
      <c r="A68" s="116" t="s">
        <v>72</v>
      </c>
      <c r="B68" s="113">
        <v>0</v>
      </c>
      <c r="C68" s="111">
        <v>0</v>
      </c>
      <c r="D68" s="117">
        <f t="shared" si="2"/>
        <v>0</v>
      </c>
    </row>
    <row r="69" spans="1:4">
      <c r="A69" s="116" t="s">
        <v>73</v>
      </c>
      <c r="B69" s="113">
        <v>14048175</v>
      </c>
      <c r="C69" s="111">
        <v>5600000</v>
      </c>
      <c r="D69" s="117">
        <f>B69+C69</f>
        <v>19648175</v>
      </c>
    </row>
    <row r="70" spans="1:4">
      <c r="A70" s="116" t="s">
        <v>74</v>
      </c>
      <c r="B70" s="113">
        <v>5777500</v>
      </c>
      <c r="C70" s="111">
        <v>1173000</v>
      </c>
      <c r="D70" s="117">
        <f>B70+C70</f>
        <v>6950500</v>
      </c>
    </row>
    <row r="71" spans="1:4">
      <c r="A71" s="116" t="s">
        <v>75</v>
      </c>
      <c r="B71" s="188">
        <v>0</v>
      </c>
      <c r="C71" s="111">
        <v>0</v>
      </c>
      <c r="D71" s="117">
        <f>B71+C71</f>
        <v>0</v>
      </c>
    </row>
    <row r="72" spans="1:4">
      <c r="A72" s="116" t="s">
        <v>76</v>
      </c>
      <c r="B72" s="188">
        <v>920000</v>
      </c>
      <c r="C72" s="111">
        <v>90000</v>
      </c>
      <c r="D72" s="117">
        <f>B72+C72</f>
        <v>1010000</v>
      </c>
    </row>
    <row r="73" spans="1:4">
      <c r="A73" s="116" t="s">
        <v>77</v>
      </c>
      <c r="B73" s="113">
        <v>68132580</v>
      </c>
      <c r="C73" s="111">
        <v>35786830</v>
      </c>
      <c r="D73" s="117">
        <f t="shared" si="2"/>
        <v>103919410</v>
      </c>
    </row>
    <row r="74" spans="1:4">
      <c r="A74" s="116" t="s">
        <v>78</v>
      </c>
      <c r="B74" s="113">
        <v>988000</v>
      </c>
      <c r="C74" s="111">
        <v>0</v>
      </c>
      <c r="D74" s="117">
        <f t="shared" si="2"/>
        <v>988000</v>
      </c>
    </row>
    <row r="75" spans="1:4">
      <c r="A75" s="116" t="s">
        <v>79</v>
      </c>
      <c r="B75" s="113">
        <v>7478600</v>
      </c>
      <c r="C75" s="111">
        <v>2069000</v>
      </c>
      <c r="D75" s="117">
        <f t="shared" si="2"/>
        <v>9547600</v>
      </c>
    </row>
    <row r="76" spans="1:4">
      <c r="A76" s="116" t="s">
        <v>80</v>
      </c>
      <c r="B76" s="113">
        <v>2021000</v>
      </c>
      <c r="C76" s="111">
        <v>1541900</v>
      </c>
      <c r="D76" s="117">
        <f t="shared" si="2"/>
        <v>3562900</v>
      </c>
    </row>
    <row r="77" spans="1:4">
      <c r="A77" s="116" t="s">
        <v>119</v>
      </c>
      <c r="B77" s="113">
        <v>55000000</v>
      </c>
      <c r="C77" s="111">
        <v>0</v>
      </c>
      <c r="D77" s="117">
        <f t="shared" si="2"/>
        <v>55000000</v>
      </c>
    </row>
    <row r="78" spans="1:4" ht="16.3" thickBot="1">
      <c r="A78" s="27" t="s">
        <v>81</v>
      </c>
      <c r="B78" s="114">
        <f>SUM(B42:B77)</f>
        <v>296170385</v>
      </c>
      <c r="C78" s="114">
        <f>SUM(C42:C77)</f>
        <v>126378265</v>
      </c>
      <c r="D78" s="123">
        <f t="shared" si="2"/>
        <v>422548650</v>
      </c>
    </row>
    <row r="79" spans="1:4" s="3" customFormat="1" ht="16.3" thickTop="1">
      <c r="A79" s="6"/>
      <c r="B79" s="9"/>
      <c r="C79" s="9"/>
      <c r="D79" s="119"/>
    </row>
    <row r="80" spans="1:4">
      <c r="A80" s="124" t="s">
        <v>82</v>
      </c>
      <c r="B80" s="115">
        <f>(ROUND(B6+B38-B78, 5))</f>
        <v>345897572.44</v>
      </c>
      <c r="C80" s="115">
        <f>C38-C78</f>
        <v>135369932.80000001</v>
      </c>
      <c r="D80" s="115">
        <f>(ROUND((D6+D38)-D78, 5))</f>
        <v>485821653.04000002</v>
      </c>
    </row>
    <row r="81" spans="1:4">
      <c r="A81" s="126"/>
      <c r="D81" s="127"/>
    </row>
    <row r="82" spans="1:4">
      <c r="A82" s="14" t="s">
        <v>104</v>
      </c>
      <c r="B82" s="24"/>
      <c r="C82" s="24"/>
      <c r="D82" s="96"/>
    </row>
    <row r="83" spans="1:4">
      <c r="A83" s="21" t="s">
        <v>37</v>
      </c>
      <c r="B83" s="42">
        <v>-286193000</v>
      </c>
      <c r="C83" s="182">
        <v>-130072000</v>
      </c>
      <c r="D83" s="96">
        <f>B83+C83</f>
        <v>-416265000</v>
      </c>
    </row>
    <row r="84" spans="1:4">
      <c r="A84" s="21" t="s">
        <v>87</v>
      </c>
      <c r="B84" s="42">
        <v>0</v>
      </c>
      <c r="C84" s="42">
        <v>0</v>
      </c>
      <c r="D84" s="96">
        <f>B84+C84</f>
        <v>0</v>
      </c>
    </row>
    <row r="85" spans="1:4">
      <c r="A85" s="36" t="s">
        <v>88</v>
      </c>
      <c r="B85" s="42">
        <v>-474600</v>
      </c>
      <c r="C85" s="42">
        <v>0</v>
      </c>
      <c r="D85" s="96">
        <f>B85+C85</f>
        <v>-474600</v>
      </c>
    </row>
    <row r="86" spans="1:4">
      <c r="A86" s="36" t="s">
        <v>38</v>
      </c>
      <c r="B86" s="42">
        <v>0</v>
      </c>
      <c r="C86" s="42">
        <v>0</v>
      </c>
      <c r="D86" s="96">
        <f>B86+C86</f>
        <v>0</v>
      </c>
    </row>
    <row r="87" spans="1:4">
      <c r="A87" s="128" t="s">
        <v>133</v>
      </c>
      <c r="B87" s="43">
        <v>0</v>
      </c>
      <c r="C87" s="43">
        <v>0</v>
      </c>
      <c r="D87" s="129">
        <f>B87+C87</f>
        <v>0</v>
      </c>
    </row>
    <row r="88" spans="1:4">
      <c r="A88" s="36"/>
      <c r="B88" s="24"/>
      <c r="C88" s="24"/>
      <c r="D88" s="96"/>
    </row>
    <row r="89" spans="1:4">
      <c r="A89" s="32" t="s">
        <v>105</v>
      </c>
      <c r="B89" s="35">
        <f>B84+B85+B87+B83</f>
        <v>-286667600</v>
      </c>
      <c r="C89" s="35">
        <f>C84+C85+C87+C83+C86</f>
        <v>-130072000</v>
      </c>
      <c r="D89" s="97">
        <f>B89+C89</f>
        <v>-416739600</v>
      </c>
    </row>
    <row r="90" spans="1:4">
      <c r="A90" s="21"/>
      <c r="B90" s="24"/>
      <c r="C90" s="24"/>
      <c r="D90" s="96"/>
    </row>
    <row r="91" spans="1:4">
      <c r="A91" s="21"/>
      <c r="B91" s="24"/>
      <c r="C91" s="24"/>
      <c r="D91" s="96"/>
    </row>
    <row r="92" spans="1:4" ht="16.3" thickBot="1">
      <c r="A92" s="38" t="s">
        <v>106</v>
      </c>
      <c r="B92" s="40">
        <f>B80+B89</f>
        <v>59229972.439999998</v>
      </c>
      <c r="C92" s="40">
        <f>C80+C89</f>
        <v>5297932.8000000119</v>
      </c>
      <c r="D92" s="108">
        <f>D80+D89</f>
        <v>69082053.040000021</v>
      </c>
    </row>
    <row r="93" spans="1:4" ht="16.75" thickTop="1" thickBot="1">
      <c r="A93" s="7"/>
      <c r="B93" s="98"/>
      <c r="C93" s="98"/>
      <c r="D93" s="44"/>
    </row>
    <row r="94" spans="1:4">
      <c r="A94" s="130"/>
      <c r="B94" s="131"/>
      <c r="C94" s="131"/>
      <c r="D94" s="131"/>
    </row>
    <row r="95" spans="1:4">
      <c r="D95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8E0C-B1DF-470B-84E4-5ECB0DCF3EAB}">
  <sheetPr>
    <pageSetUpPr fitToPage="1"/>
  </sheetPr>
  <dimension ref="A1:D97"/>
  <sheetViews>
    <sheetView zoomScale="81" workbookViewId="0">
      <selection activeCell="D6" sqref="D6"/>
    </sheetView>
  </sheetViews>
  <sheetFormatPr defaultColWidth="9.3046875" defaultRowHeight="15.9"/>
  <cols>
    <col min="1" max="1" width="38" style="20" customWidth="1"/>
    <col min="2" max="3" width="21.69140625" style="20" customWidth="1"/>
    <col min="4" max="4" width="20.3046875" style="23" customWidth="1"/>
    <col min="5" max="16384" width="9.30468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45808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111</v>
      </c>
      <c r="D5" s="99" t="s">
        <v>130</v>
      </c>
    </row>
    <row r="6" spans="1:4">
      <c r="A6" s="116" t="s">
        <v>39</v>
      </c>
      <c r="B6" s="117">
        <v>48487459.519999988</v>
      </c>
      <c r="C6" s="10">
        <v>5297932.95</v>
      </c>
      <c r="D6" s="117">
        <f>B6+C6</f>
        <v>53785392.469999991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2">
        <v>716560</v>
      </c>
      <c r="C8" s="111">
        <v>340170</v>
      </c>
      <c r="D8" s="117">
        <f t="shared" ref="D8:D21" si="0">B8+C8</f>
        <v>1056730</v>
      </c>
    </row>
    <row r="9" spans="1:4">
      <c r="A9" s="116" t="s">
        <v>10</v>
      </c>
      <c r="B9" s="42">
        <v>67276252</v>
      </c>
      <c r="C9" s="111">
        <v>14883258</v>
      </c>
      <c r="D9" s="117">
        <f t="shared" si="0"/>
        <v>82159510</v>
      </c>
    </row>
    <row r="10" spans="1:4">
      <c r="A10" s="116" t="s">
        <v>11</v>
      </c>
      <c r="B10" s="42">
        <v>286308088</v>
      </c>
      <c r="C10" s="111">
        <v>38219779</v>
      </c>
      <c r="D10" s="117">
        <f t="shared" si="0"/>
        <v>324527867</v>
      </c>
    </row>
    <row r="11" spans="1:4">
      <c r="A11" s="116" t="s">
        <v>12</v>
      </c>
      <c r="B11" s="42">
        <v>349544114</v>
      </c>
      <c r="C11" s="111">
        <v>9894400</v>
      </c>
      <c r="D11" s="117">
        <f t="shared" si="0"/>
        <v>359438514</v>
      </c>
    </row>
    <row r="12" spans="1:4">
      <c r="A12" s="116" t="s">
        <v>14</v>
      </c>
      <c r="B12" s="42">
        <v>4500455</v>
      </c>
      <c r="C12" s="111">
        <v>718601</v>
      </c>
      <c r="D12" s="117">
        <f t="shared" si="0"/>
        <v>5219056</v>
      </c>
    </row>
    <row r="13" spans="1:4">
      <c r="A13" s="116" t="s">
        <v>132</v>
      </c>
      <c r="B13" s="42">
        <v>0</v>
      </c>
      <c r="C13" s="111">
        <v>0</v>
      </c>
      <c r="D13" s="117">
        <f t="shared" si="0"/>
        <v>0</v>
      </c>
    </row>
    <row r="14" spans="1:4">
      <c r="A14" s="116" t="s">
        <v>15</v>
      </c>
      <c r="B14" s="42">
        <v>24848585</v>
      </c>
      <c r="C14" s="111">
        <v>736500</v>
      </c>
      <c r="D14" s="117">
        <f t="shared" si="0"/>
        <v>25585085</v>
      </c>
    </row>
    <row r="15" spans="1:4">
      <c r="A15" s="116" t="s">
        <v>16</v>
      </c>
      <c r="B15" s="42">
        <v>69424868</v>
      </c>
      <c r="C15" s="111">
        <v>14404981</v>
      </c>
      <c r="D15" s="117">
        <f t="shared" si="0"/>
        <v>83829849</v>
      </c>
    </row>
    <row r="16" spans="1:4">
      <c r="A16" s="116" t="s">
        <v>17</v>
      </c>
      <c r="B16" s="42">
        <v>2000</v>
      </c>
      <c r="C16" s="111">
        <v>0</v>
      </c>
      <c r="D16" s="117">
        <f t="shared" si="0"/>
        <v>2000</v>
      </c>
    </row>
    <row r="17" spans="1:4">
      <c r="A17" s="116" t="s">
        <v>21</v>
      </c>
      <c r="B17" s="42">
        <v>1135191</v>
      </c>
      <c r="C17" s="111">
        <v>305106</v>
      </c>
      <c r="D17" s="117">
        <f t="shared" si="0"/>
        <v>1440297</v>
      </c>
    </row>
    <row r="18" spans="1:4">
      <c r="A18" s="116" t="s">
        <v>22</v>
      </c>
      <c r="B18" s="42">
        <v>1929000</v>
      </c>
      <c r="C18" s="111">
        <v>606000</v>
      </c>
      <c r="D18" s="117">
        <f t="shared" si="0"/>
        <v>2535000</v>
      </c>
    </row>
    <row r="19" spans="1:4">
      <c r="A19" s="116" t="s">
        <v>23</v>
      </c>
      <c r="B19" s="42">
        <v>953000</v>
      </c>
      <c r="C19" s="111">
        <v>56586</v>
      </c>
      <c r="D19" s="117">
        <f t="shared" si="0"/>
        <v>1009586</v>
      </c>
    </row>
    <row r="20" spans="1:4">
      <c r="A20" s="116" t="s">
        <v>164</v>
      </c>
      <c r="B20" s="42">
        <v>722000</v>
      </c>
      <c r="C20" s="111">
        <v>332530</v>
      </c>
      <c r="D20" s="117">
        <f t="shared" si="0"/>
        <v>1054530</v>
      </c>
    </row>
    <row r="21" spans="1:4">
      <c r="A21" s="116" t="s">
        <v>24</v>
      </c>
      <c r="B21" s="42">
        <v>2076906</v>
      </c>
      <c r="C21" s="111">
        <v>524000</v>
      </c>
      <c r="D21" s="117">
        <f t="shared" si="0"/>
        <v>2600906</v>
      </c>
    </row>
    <row r="22" spans="1:4">
      <c r="A22" s="16" t="s">
        <v>41</v>
      </c>
      <c r="B22" s="26">
        <f>SUM(B6:B21)</f>
        <v>857924478.51999998</v>
      </c>
      <c r="C22" s="112">
        <f>SUM(C6:C21)</f>
        <v>86319843.950000003</v>
      </c>
      <c r="D22" s="118">
        <f>B22+C22</f>
        <v>944244322.47000003</v>
      </c>
    </row>
    <row r="23" spans="1:4" s="3" customFormat="1">
      <c r="A23" s="4"/>
      <c r="B23" s="9"/>
      <c r="C23" s="9"/>
      <c r="D23" s="119"/>
    </row>
    <row r="24" spans="1:4" s="3" customFormat="1">
      <c r="A24" s="14" t="s">
        <v>42</v>
      </c>
      <c r="B24" s="9"/>
      <c r="C24" s="9"/>
      <c r="D24" s="119"/>
    </row>
    <row r="25" spans="1:4" s="3" customFormat="1">
      <c r="A25" s="120" t="s">
        <v>18</v>
      </c>
      <c r="B25" s="113">
        <v>0</v>
      </c>
      <c r="C25" s="111">
        <v>0</v>
      </c>
      <c r="D25" s="119">
        <f t="shared" ref="D25:D35" si="1">B25+C25</f>
        <v>0</v>
      </c>
    </row>
    <row r="26" spans="1:4" s="3" customFormat="1">
      <c r="A26" s="121" t="s">
        <v>26</v>
      </c>
      <c r="B26" s="113">
        <v>102000</v>
      </c>
      <c r="C26" s="111">
        <v>0</v>
      </c>
      <c r="D26" s="122">
        <f t="shared" si="1"/>
        <v>102000</v>
      </c>
    </row>
    <row r="27" spans="1:4" s="3" customFormat="1">
      <c r="A27" s="121" t="s">
        <v>27</v>
      </c>
      <c r="B27" s="113">
        <v>0</v>
      </c>
      <c r="C27" s="111">
        <v>430000</v>
      </c>
      <c r="D27" s="122">
        <f t="shared" si="1"/>
        <v>430000</v>
      </c>
    </row>
    <row r="28" spans="1:4" s="3" customFormat="1">
      <c r="A28" s="121" t="s">
        <v>28</v>
      </c>
      <c r="B28" s="113">
        <v>263000</v>
      </c>
      <c r="C28" s="111">
        <v>108000</v>
      </c>
      <c r="D28" s="122">
        <f t="shared" si="1"/>
        <v>371000</v>
      </c>
    </row>
    <row r="29" spans="1:4" s="3" customFormat="1">
      <c r="A29" s="121" t="s">
        <v>29</v>
      </c>
      <c r="B29" s="113">
        <v>287438</v>
      </c>
      <c r="C29" s="111">
        <v>0</v>
      </c>
      <c r="D29" s="122">
        <f t="shared" si="1"/>
        <v>287438</v>
      </c>
    </row>
    <row r="30" spans="1:4" s="3" customFormat="1">
      <c r="A30" s="121" t="s">
        <v>30</v>
      </c>
      <c r="B30" s="113">
        <v>94047</v>
      </c>
      <c r="C30" s="111">
        <v>0</v>
      </c>
      <c r="D30" s="122">
        <f t="shared" si="1"/>
        <v>94047</v>
      </c>
    </row>
    <row r="31" spans="1:4" s="3" customFormat="1">
      <c r="A31" s="121" t="s">
        <v>31</v>
      </c>
      <c r="B31" s="113">
        <v>80000</v>
      </c>
      <c r="C31" s="111">
        <v>72000</v>
      </c>
      <c r="D31" s="122">
        <f t="shared" si="1"/>
        <v>152000</v>
      </c>
    </row>
    <row r="32" spans="1:4" s="3" customFormat="1">
      <c r="A32" s="121" t="s">
        <v>32</v>
      </c>
      <c r="B32" s="113">
        <v>318000</v>
      </c>
      <c r="C32" s="111">
        <v>146878</v>
      </c>
      <c r="D32" s="122">
        <f t="shared" si="1"/>
        <v>464878</v>
      </c>
    </row>
    <row r="33" spans="1:4" s="3" customFormat="1">
      <c r="A33" s="121" t="s">
        <v>33</v>
      </c>
      <c r="B33" s="113">
        <v>353880</v>
      </c>
      <c r="C33" s="111">
        <v>120000</v>
      </c>
      <c r="D33" s="122">
        <f t="shared" si="1"/>
        <v>473880</v>
      </c>
    </row>
    <row r="34" spans="1:4" s="3" customFormat="1">
      <c r="A34" s="121" t="s">
        <v>34</v>
      </c>
      <c r="B34" s="113">
        <v>655000</v>
      </c>
      <c r="C34" s="111">
        <v>350000</v>
      </c>
      <c r="D34" s="122">
        <f t="shared" si="1"/>
        <v>1005000</v>
      </c>
    </row>
    <row r="35" spans="1:4" s="3" customFormat="1">
      <c r="A35" s="121" t="s">
        <v>35</v>
      </c>
      <c r="B35" s="113">
        <v>25000</v>
      </c>
      <c r="C35" s="111">
        <v>0</v>
      </c>
      <c r="D35" s="122">
        <f t="shared" si="1"/>
        <v>25000</v>
      </c>
    </row>
    <row r="36" spans="1:4" s="3" customFormat="1">
      <c r="A36" s="16" t="s">
        <v>43</v>
      </c>
      <c r="B36" s="11">
        <f>SUM(B25:B35)</f>
        <v>2178365</v>
      </c>
      <c r="C36" s="11">
        <f>SUM(C25:C35)</f>
        <v>1226878</v>
      </c>
      <c r="D36" s="102">
        <f>SUM(D25:D35)</f>
        <v>3405243</v>
      </c>
    </row>
    <row r="37" spans="1:4" s="3" customFormat="1">
      <c r="A37" s="4"/>
      <c r="B37" s="9"/>
      <c r="C37" s="9"/>
      <c r="D37" s="119"/>
    </row>
    <row r="38" spans="1:4" s="3" customFormat="1">
      <c r="A38" s="17" t="s">
        <v>36</v>
      </c>
      <c r="B38" s="12">
        <f>B22+B36</f>
        <v>860102843.51999998</v>
      </c>
      <c r="C38" s="12">
        <f>C22+C36</f>
        <v>87546721.950000003</v>
      </c>
      <c r="D38" s="103">
        <f>D22+D36</f>
        <v>947649565.47000003</v>
      </c>
    </row>
    <row r="39" spans="1:4" s="3" customFormat="1">
      <c r="A39" s="4"/>
      <c r="B39" s="9"/>
      <c r="C39" s="9"/>
      <c r="D39" s="119"/>
    </row>
    <row r="40" spans="1:4" s="3" customFormat="1">
      <c r="A40" s="4"/>
      <c r="B40" s="9"/>
      <c r="C40" s="9"/>
      <c r="D40" s="119"/>
    </row>
    <row r="41" spans="1:4">
      <c r="A41" s="14" t="s">
        <v>44</v>
      </c>
      <c r="B41" s="22"/>
      <c r="C41" s="22"/>
      <c r="D41" s="96"/>
    </row>
    <row r="42" spans="1:4">
      <c r="A42" s="133" t="s">
        <v>45</v>
      </c>
      <c r="B42" s="132">
        <v>34618640</v>
      </c>
      <c r="C42" s="111">
        <v>6992900</v>
      </c>
      <c r="D42" s="117">
        <f>B42+C42</f>
        <v>41611540</v>
      </c>
    </row>
    <row r="43" spans="1:4">
      <c r="A43" s="116" t="s">
        <v>46</v>
      </c>
      <c r="B43" s="113">
        <v>0</v>
      </c>
      <c r="C43" s="111">
        <v>900000</v>
      </c>
      <c r="D43" s="117">
        <f t="shared" ref="D43:D78" si="2">B43+C43</f>
        <v>900000</v>
      </c>
    </row>
    <row r="44" spans="1:4">
      <c r="A44" s="116" t="s">
        <v>47</v>
      </c>
      <c r="B44" s="113">
        <v>1923770</v>
      </c>
      <c r="C44" s="111">
        <v>306134</v>
      </c>
      <c r="D44" s="117">
        <f t="shared" si="2"/>
        <v>2229904</v>
      </c>
    </row>
    <row r="45" spans="1:4">
      <c r="A45" s="116" t="s">
        <v>48</v>
      </c>
      <c r="B45" s="113">
        <v>12618000</v>
      </c>
      <c r="C45" s="111">
        <v>300000</v>
      </c>
      <c r="D45" s="117">
        <f t="shared" si="2"/>
        <v>12918000</v>
      </c>
    </row>
    <row r="46" spans="1:4">
      <c r="A46" s="116" t="s">
        <v>49</v>
      </c>
      <c r="B46" s="113">
        <v>1600000</v>
      </c>
      <c r="C46" s="111">
        <v>450000</v>
      </c>
      <c r="D46" s="117">
        <f t="shared" si="2"/>
        <v>2050000</v>
      </c>
    </row>
    <row r="47" spans="1:4">
      <c r="A47" s="116" t="s">
        <v>50</v>
      </c>
      <c r="B47" s="113">
        <v>2062880</v>
      </c>
      <c r="C47" s="111">
        <v>712000</v>
      </c>
      <c r="D47" s="117">
        <f t="shared" si="2"/>
        <v>2774880</v>
      </c>
    </row>
    <row r="48" spans="1:4">
      <c r="A48" s="116" t="s">
        <v>51</v>
      </c>
      <c r="B48" s="113">
        <v>30296000</v>
      </c>
      <c r="C48" s="111">
        <v>7560000</v>
      </c>
      <c r="D48" s="117">
        <f t="shared" si="2"/>
        <v>37856000</v>
      </c>
    </row>
    <row r="49" spans="1:4">
      <c r="A49" s="116" t="s">
        <v>52</v>
      </c>
      <c r="B49" s="113">
        <v>378000</v>
      </c>
      <c r="C49" s="111">
        <v>100000</v>
      </c>
      <c r="D49" s="117">
        <f t="shared" si="2"/>
        <v>478000</v>
      </c>
    </row>
    <row r="50" spans="1:4">
      <c r="A50" s="116" t="s">
        <v>53</v>
      </c>
      <c r="B50" s="113">
        <v>8768000</v>
      </c>
      <c r="C50" s="111">
        <v>669000</v>
      </c>
      <c r="D50" s="117">
        <f t="shared" si="2"/>
        <v>9437000</v>
      </c>
    </row>
    <row r="51" spans="1:4">
      <c r="A51" s="116" t="s">
        <v>54</v>
      </c>
      <c r="B51" s="113">
        <v>2000000</v>
      </c>
      <c r="C51" s="111">
        <v>0</v>
      </c>
      <c r="D51" s="117">
        <f t="shared" si="2"/>
        <v>2000000</v>
      </c>
    </row>
    <row r="52" spans="1:4">
      <c r="A52" s="116" t="s">
        <v>55</v>
      </c>
      <c r="B52" s="113">
        <v>11826000</v>
      </c>
      <c r="C52" s="111">
        <v>2458000</v>
      </c>
      <c r="D52" s="117">
        <f t="shared" si="2"/>
        <v>14284000</v>
      </c>
    </row>
    <row r="53" spans="1:4">
      <c r="A53" s="116" t="s">
        <v>56</v>
      </c>
      <c r="B53" s="113">
        <v>3113400</v>
      </c>
      <c r="C53" s="111">
        <v>166500</v>
      </c>
      <c r="D53" s="117">
        <f t="shared" si="2"/>
        <v>3279900</v>
      </c>
    </row>
    <row r="54" spans="1:4">
      <c r="A54" s="116" t="s">
        <v>58</v>
      </c>
      <c r="B54" s="113">
        <v>5000000</v>
      </c>
      <c r="C54" s="111">
        <v>0</v>
      </c>
      <c r="D54" s="117">
        <f t="shared" si="2"/>
        <v>5000000</v>
      </c>
    </row>
    <row r="55" spans="1:4">
      <c r="A55" s="116" t="s">
        <v>59</v>
      </c>
      <c r="B55" s="113">
        <v>14246000</v>
      </c>
      <c r="C55" s="111">
        <v>0</v>
      </c>
      <c r="D55" s="117">
        <f t="shared" si="2"/>
        <v>14246000</v>
      </c>
    </row>
    <row r="56" spans="1:4">
      <c r="A56" s="116" t="s">
        <v>120</v>
      </c>
      <c r="B56" s="113">
        <v>14226600</v>
      </c>
      <c r="C56" s="111">
        <v>635000</v>
      </c>
      <c r="D56" s="117">
        <f t="shared" si="2"/>
        <v>14861600</v>
      </c>
    </row>
    <row r="57" spans="1:4">
      <c r="A57" s="116" t="s">
        <v>61</v>
      </c>
      <c r="B57" s="113">
        <v>11243025</v>
      </c>
      <c r="C57" s="111">
        <v>5327750</v>
      </c>
      <c r="D57" s="117">
        <f t="shared" si="2"/>
        <v>16570775</v>
      </c>
    </row>
    <row r="58" spans="1:4">
      <c r="A58" s="116" t="s">
        <v>60</v>
      </c>
      <c r="B58" s="113">
        <v>9916900</v>
      </c>
      <c r="C58" s="111">
        <v>0</v>
      </c>
      <c r="D58" s="117">
        <f t="shared" si="2"/>
        <v>9916900</v>
      </c>
    </row>
    <row r="59" spans="1:4">
      <c r="A59" s="116" t="s">
        <v>62</v>
      </c>
      <c r="B59" s="113">
        <v>0</v>
      </c>
      <c r="C59" s="111">
        <v>0</v>
      </c>
      <c r="D59" s="117">
        <f t="shared" si="2"/>
        <v>0</v>
      </c>
    </row>
    <row r="60" spans="1:4">
      <c r="A60" s="116" t="s">
        <v>63</v>
      </c>
      <c r="B60" s="113">
        <v>1041500</v>
      </c>
      <c r="C60" s="111">
        <v>388000</v>
      </c>
      <c r="D60" s="117">
        <f t="shared" si="2"/>
        <v>1429500</v>
      </c>
    </row>
    <row r="61" spans="1:4">
      <c r="A61" s="116" t="s">
        <v>64</v>
      </c>
      <c r="B61" s="113">
        <v>780000</v>
      </c>
      <c r="C61" s="111">
        <v>0</v>
      </c>
      <c r="D61" s="117">
        <f t="shared" si="2"/>
        <v>780000</v>
      </c>
    </row>
    <row r="62" spans="1:4">
      <c r="A62" s="116" t="s">
        <v>65</v>
      </c>
      <c r="B62" s="113">
        <v>8813100</v>
      </c>
      <c r="C62" s="111">
        <v>883600</v>
      </c>
      <c r="D62" s="117">
        <f t="shared" si="2"/>
        <v>9696700</v>
      </c>
    </row>
    <row r="63" spans="1:4">
      <c r="A63" s="116" t="s">
        <v>66</v>
      </c>
      <c r="B63" s="113">
        <v>1154720</v>
      </c>
      <c r="C63" s="111">
        <v>20000</v>
      </c>
      <c r="D63" s="117">
        <f t="shared" si="2"/>
        <v>1174720</v>
      </c>
    </row>
    <row r="64" spans="1:4">
      <c r="A64" s="116" t="s">
        <v>67</v>
      </c>
      <c r="B64" s="113">
        <v>2607000</v>
      </c>
      <c r="C64" s="111">
        <v>4570000</v>
      </c>
      <c r="D64" s="117">
        <f t="shared" si="2"/>
        <v>7177000</v>
      </c>
    </row>
    <row r="65" spans="1:4">
      <c r="A65" s="116" t="s">
        <v>68</v>
      </c>
      <c r="B65" s="113">
        <v>3060000</v>
      </c>
      <c r="C65" s="111">
        <v>0</v>
      </c>
      <c r="D65" s="117">
        <f t="shared" si="2"/>
        <v>3060000</v>
      </c>
    </row>
    <row r="66" spans="1:4">
      <c r="A66" s="116" t="s">
        <v>69</v>
      </c>
      <c r="B66" s="113">
        <v>37595080</v>
      </c>
      <c r="C66" s="111">
        <v>3020900</v>
      </c>
      <c r="D66" s="117">
        <f t="shared" si="2"/>
        <v>40615980</v>
      </c>
    </row>
    <row r="67" spans="1:4">
      <c r="A67" s="116" t="s">
        <v>71</v>
      </c>
      <c r="B67" s="113">
        <v>3033450</v>
      </c>
      <c r="C67" s="111">
        <v>0</v>
      </c>
      <c r="D67" s="117">
        <f t="shared" si="2"/>
        <v>3033450</v>
      </c>
    </row>
    <row r="68" spans="1:4">
      <c r="A68" s="116" t="s">
        <v>72</v>
      </c>
      <c r="B68" s="113">
        <v>0</v>
      </c>
      <c r="C68" s="111">
        <v>825000</v>
      </c>
      <c r="D68" s="117">
        <f t="shared" si="2"/>
        <v>825000</v>
      </c>
    </row>
    <row r="69" spans="1:4">
      <c r="A69" s="116" t="s">
        <v>73</v>
      </c>
      <c r="B69" s="113">
        <v>19648175</v>
      </c>
      <c r="C69" s="111">
        <v>7032500</v>
      </c>
      <c r="D69" s="117">
        <f t="shared" si="2"/>
        <v>26680675</v>
      </c>
    </row>
    <row r="70" spans="1:4">
      <c r="A70" s="116" t="s">
        <v>74</v>
      </c>
      <c r="B70" s="113">
        <v>6950500</v>
      </c>
      <c r="C70" s="111">
        <v>662000</v>
      </c>
      <c r="D70" s="117">
        <f t="shared" si="2"/>
        <v>7612500</v>
      </c>
    </row>
    <row r="71" spans="1:4">
      <c r="A71" s="116" t="s">
        <v>75</v>
      </c>
      <c r="B71" s="113">
        <v>0</v>
      </c>
      <c r="C71" s="111">
        <v>0</v>
      </c>
      <c r="D71" s="117">
        <f t="shared" si="2"/>
        <v>0</v>
      </c>
    </row>
    <row r="72" spans="1:4">
      <c r="A72" s="116" t="s">
        <v>76</v>
      </c>
      <c r="B72" s="113">
        <v>1010000</v>
      </c>
      <c r="C72" s="111">
        <v>330000</v>
      </c>
      <c r="D72" s="117">
        <f t="shared" si="2"/>
        <v>1340000</v>
      </c>
    </row>
    <row r="73" spans="1:4">
      <c r="A73" s="116" t="s">
        <v>77</v>
      </c>
      <c r="B73" s="113">
        <v>103919410</v>
      </c>
      <c r="C73" s="111">
        <v>16801100</v>
      </c>
      <c r="D73" s="117">
        <f t="shared" si="2"/>
        <v>120720510</v>
      </c>
    </row>
    <row r="74" spans="1:4">
      <c r="A74" s="116" t="s">
        <v>78</v>
      </c>
      <c r="B74" s="113">
        <v>988000</v>
      </c>
      <c r="C74" s="111">
        <v>185300</v>
      </c>
      <c r="D74" s="117">
        <f t="shared" si="2"/>
        <v>1173300</v>
      </c>
    </row>
    <row r="75" spans="1:4">
      <c r="A75" s="116" t="s">
        <v>79</v>
      </c>
      <c r="B75" s="113">
        <v>9547600</v>
      </c>
      <c r="C75" s="111">
        <v>397000</v>
      </c>
      <c r="D75" s="117">
        <f t="shared" si="2"/>
        <v>9944600</v>
      </c>
    </row>
    <row r="76" spans="1:4">
      <c r="A76" s="116" t="s">
        <v>80</v>
      </c>
      <c r="B76" s="113">
        <v>3562900</v>
      </c>
      <c r="C76" s="111">
        <v>3650000</v>
      </c>
      <c r="D76" s="117">
        <f t="shared" si="2"/>
        <v>7212900</v>
      </c>
    </row>
    <row r="77" spans="1:4">
      <c r="A77" s="116" t="s">
        <v>119</v>
      </c>
      <c r="B77" s="113">
        <v>55000000</v>
      </c>
      <c r="C77" s="111">
        <v>10000000</v>
      </c>
      <c r="D77" s="117">
        <f t="shared" si="2"/>
        <v>65000000</v>
      </c>
    </row>
    <row r="78" spans="1:4" ht="16.3" thickBot="1">
      <c r="A78" s="27" t="s">
        <v>81</v>
      </c>
      <c r="B78" s="114">
        <f>ROUND(SUBTOTAL(9, B41:B77), 5)</f>
        <v>422548650</v>
      </c>
      <c r="C78" s="114">
        <f>ROUND(SUBTOTAL(9, C41:C77), 5)</f>
        <v>75342684</v>
      </c>
      <c r="D78" s="123">
        <f t="shared" si="2"/>
        <v>497891334</v>
      </c>
    </row>
    <row r="79" spans="1:4" s="3" customFormat="1" ht="16.3" thickTop="1">
      <c r="A79" s="6"/>
      <c r="B79" s="9"/>
      <c r="C79" s="9"/>
      <c r="D79" s="119"/>
    </row>
    <row r="80" spans="1:4">
      <c r="A80" s="124" t="s">
        <v>82</v>
      </c>
      <c r="B80" s="115">
        <v>486051741.04000002</v>
      </c>
      <c r="C80" s="115">
        <f>C38-C78</f>
        <v>12204037.950000003</v>
      </c>
      <c r="D80" s="115">
        <f>(ROUND((D6+D38)-D78, 5))</f>
        <v>503543623.94</v>
      </c>
    </row>
    <row r="81" spans="1:4">
      <c r="A81" s="126"/>
      <c r="D81" s="127"/>
    </row>
    <row r="82" spans="1:4">
      <c r="A82" s="14" t="s">
        <v>104</v>
      </c>
      <c r="D82" s="96"/>
    </row>
    <row r="83" spans="1:4">
      <c r="A83" s="21" t="s">
        <v>37</v>
      </c>
      <c r="B83" s="24">
        <v>-416265000</v>
      </c>
      <c r="C83" s="182">
        <v>-3134000</v>
      </c>
      <c r="D83" s="96">
        <f>B83+C83</f>
        <v>-419399000</v>
      </c>
    </row>
    <row r="84" spans="1:4">
      <c r="A84" s="21" t="s">
        <v>87</v>
      </c>
      <c r="B84" s="42">
        <v>0</v>
      </c>
      <c r="C84" s="42">
        <v>-6196600</v>
      </c>
      <c r="D84" s="96">
        <f>B84+C84</f>
        <v>-6196600</v>
      </c>
    </row>
    <row r="85" spans="1:4">
      <c r="A85" s="36" t="s">
        <v>88</v>
      </c>
      <c r="B85" s="42">
        <v>-474600</v>
      </c>
      <c r="C85" s="42"/>
      <c r="D85" s="42">
        <v>-474600</v>
      </c>
    </row>
    <row r="86" spans="1:4">
      <c r="A86" s="36" t="s">
        <v>38</v>
      </c>
      <c r="B86" s="42">
        <v>0</v>
      </c>
      <c r="C86" s="42"/>
      <c r="D86" s="96">
        <v>0</v>
      </c>
    </row>
    <row r="87" spans="1:4">
      <c r="A87" s="128" t="s">
        <v>133</v>
      </c>
      <c r="B87" s="190"/>
      <c r="C87" s="190"/>
      <c r="D87" s="96"/>
    </row>
    <row r="88" spans="1:4">
      <c r="A88" s="128" t="s">
        <v>165</v>
      </c>
      <c r="B88" s="190"/>
      <c r="C88" s="190">
        <v>55305.81</v>
      </c>
      <c r="D88" s="96"/>
    </row>
    <row r="89" spans="1:4">
      <c r="A89" s="128" t="s">
        <v>166</v>
      </c>
      <c r="B89" s="189">
        <v>5044</v>
      </c>
      <c r="C89" s="97">
        <v>0</v>
      </c>
      <c r="D89" s="189">
        <v>5044</v>
      </c>
    </row>
    <row r="90" spans="1:4">
      <c r="A90" s="36"/>
      <c r="B90" s="24"/>
      <c r="C90" s="24"/>
      <c r="D90" s="96"/>
    </row>
    <row r="91" spans="1:4">
      <c r="A91" s="32" t="s">
        <v>105</v>
      </c>
      <c r="B91" s="35">
        <f>SUM(B83:B90)</f>
        <v>-416734556</v>
      </c>
      <c r="C91" s="35">
        <f>SUM(C83:C90)</f>
        <v>-9275294.1899999995</v>
      </c>
      <c r="D91" s="97">
        <f>SUM(D83:D89)</f>
        <v>-426065156</v>
      </c>
    </row>
    <row r="92" spans="1:4">
      <c r="A92" s="21"/>
      <c r="B92" s="24"/>
      <c r="C92" s="24"/>
      <c r="D92" s="96"/>
    </row>
    <row r="93" spans="1:4">
      <c r="A93" s="21"/>
      <c r="B93" s="24"/>
      <c r="C93" s="24"/>
      <c r="D93" s="96"/>
    </row>
    <row r="94" spans="1:4" ht="16.3" thickBot="1">
      <c r="A94" s="38" t="s">
        <v>106</v>
      </c>
      <c r="B94" s="40">
        <f>B80+B91</f>
        <v>69317185.040000021</v>
      </c>
      <c r="C94" s="40">
        <f>C80+C91</f>
        <v>2928743.7600000035</v>
      </c>
      <c r="D94" s="108">
        <v>77013589.939999998</v>
      </c>
    </row>
    <row r="95" spans="1:4" ht="16.75" thickTop="1" thickBot="1">
      <c r="A95" s="7"/>
      <c r="B95" s="98"/>
      <c r="C95" s="98"/>
      <c r="D95" s="44"/>
    </row>
    <row r="96" spans="1:4">
      <c r="A96" s="130"/>
      <c r="B96" s="131"/>
      <c r="C96" s="131"/>
      <c r="D96" s="131"/>
    </row>
    <row r="97" spans="4:4">
      <c r="D97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9B98-1CC8-4DAA-8D63-31298A273467}">
  <sheetPr>
    <pageSetUpPr fitToPage="1"/>
  </sheetPr>
  <dimension ref="A1:D98"/>
  <sheetViews>
    <sheetView topLeftCell="A83" workbookViewId="0">
      <selection activeCell="D95" sqref="D95"/>
    </sheetView>
  </sheetViews>
  <sheetFormatPr defaultColWidth="9.3046875" defaultRowHeight="15.9"/>
  <cols>
    <col min="1" max="1" width="38" style="20" customWidth="1"/>
    <col min="2" max="3" width="21.69140625" style="20" customWidth="1"/>
    <col min="4" max="4" width="20.3046875" style="23" customWidth="1"/>
    <col min="5" max="16384" width="9.30468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45838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112</v>
      </c>
      <c r="D5" s="99" t="s">
        <v>130</v>
      </c>
    </row>
    <row r="6" spans="1:4">
      <c r="A6" s="116" t="s">
        <v>39</v>
      </c>
      <c r="B6" s="117">
        <v>53790436.469999991</v>
      </c>
      <c r="C6" s="10">
        <v>2928743.36</v>
      </c>
      <c r="D6" s="211">
        <v>56719179.829999991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2">
        <v>1056730</v>
      </c>
      <c r="C8" s="111">
        <v>0</v>
      </c>
      <c r="D8" s="117">
        <f t="shared" ref="D8:D21" si="0">B8+C8</f>
        <v>1056730</v>
      </c>
    </row>
    <row r="9" spans="1:4">
      <c r="A9" s="116" t="s">
        <v>10</v>
      </c>
      <c r="B9" s="42">
        <v>82159510</v>
      </c>
      <c r="C9" s="111">
        <v>18114551</v>
      </c>
      <c r="D9" s="117">
        <f t="shared" si="0"/>
        <v>100274061</v>
      </c>
    </row>
    <row r="10" spans="1:4">
      <c r="A10" s="116" t="s">
        <v>11</v>
      </c>
      <c r="B10" s="42">
        <v>324527867</v>
      </c>
      <c r="C10" s="111">
        <v>47490621</v>
      </c>
      <c r="D10" s="117">
        <f t="shared" si="0"/>
        <v>372018488</v>
      </c>
    </row>
    <row r="11" spans="1:4">
      <c r="A11" s="116" t="s">
        <v>12</v>
      </c>
      <c r="B11" s="42">
        <v>359438514</v>
      </c>
      <c r="C11" s="111">
        <v>19470245</v>
      </c>
      <c r="D11" s="117">
        <f t="shared" si="0"/>
        <v>378908759</v>
      </c>
    </row>
    <row r="12" spans="1:4">
      <c r="A12" s="116" t="s">
        <v>14</v>
      </c>
      <c r="B12" s="42">
        <v>5219056</v>
      </c>
      <c r="C12" s="111">
        <v>0</v>
      </c>
      <c r="D12" s="117">
        <f t="shared" si="0"/>
        <v>5219056</v>
      </c>
    </row>
    <row r="13" spans="1:4">
      <c r="A13" s="116" t="s">
        <v>132</v>
      </c>
      <c r="B13" s="42">
        <v>0</v>
      </c>
      <c r="C13" s="111">
        <v>0</v>
      </c>
      <c r="D13" s="117">
        <f t="shared" si="0"/>
        <v>0</v>
      </c>
    </row>
    <row r="14" spans="1:4">
      <c r="A14" s="116" t="s">
        <v>15</v>
      </c>
      <c r="B14" s="42">
        <v>25585085</v>
      </c>
      <c r="C14" s="111">
        <v>1179820</v>
      </c>
      <c r="D14" s="117">
        <f t="shared" si="0"/>
        <v>26764905</v>
      </c>
    </row>
    <row r="15" spans="1:4">
      <c r="A15" s="116" t="s">
        <v>16</v>
      </c>
      <c r="B15" s="42">
        <v>83829849</v>
      </c>
      <c r="C15" s="111">
        <v>13889670</v>
      </c>
      <c r="D15" s="117">
        <f t="shared" si="0"/>
        <v>97719519</v>
      </c>
    </row>
    <row r="16" spans="1:4">
      <c r="A16" s="116" t="s">
        <v>17</v>
      </c>
      <c r="B16" s="42">
        <v>2000</v>
      </c>
      <c r="C16" s="111">
        <v>0</v>
      </c>
      <c r="D16" s="117">
        <f t="shared" si="0"/>
        <v>2000</v>
      </c>
    </row>
    <row r="17" spans="1:4">
      <c r="A17" s="116" t="s">
        <v>21</v>
      </c>
      <c r="B17" s="42">
        <v>1440297</v>
      </c>
      <c r="C17" s="111">
        <v>247742</v>
      </c>
      <c r="D17" s="117">
        <f t="shared" si="0"/>
        <v>1688039</v>
      </c>
    </row>
    <row r="18" spans="1:4">
      <c r="A18" s="116" t="s">
        <v>22</v>
      </c>
      <c r="B18" s="42">
        <v>2535000</v>
      </c>
      <c r="C18" s="111">
        <v>680000</v>
      </c>
      <c r="D18" s="117">
        <f t="shared" si="0"/>
        <v>3215000</v>
      </c>
    </row>
    <row r="19" spans="1:4">
      <c r="A19" s="116" t="s">
        <v>23</v>
      </c>
      <c r="B19" s="42">
        <v>1009586</v>
      </c>
      <c r="C19" s="111">
        <v>138000</v>
      </c>
      <c r="D19" s="117">
        <f t="shared" si="0"/>
        <v>1147586</v>
      </c>
    </row>
    <row r="20" spans="1:4">
      <c r="A20" s="116" t="s">
        <v>164</v>
      </c>
      <c r="B20" s="42">
        <v>1054530</v>
      </c>
      <c r="C20" s="111">
        <v>307206</v>
      </c>
      <c r="D20" s="117">
        <f t="shared" si="0"/>
        <v>1361736</v>
      </c>
    </row>
    <row r="21" spans="1:4">
      <c r="A21" s="116" t="s">
        <v>24</v>
      </c>
      <c r="B21" s="42">
        <v>2600906</v>
      </c>
      <c r="C21" s="111">
        <v>685260</v>
      </c>
      <c r="D21" s="117">
        <f t="shared" si="0"/>
        <v>3286166</v>
      </c>
    </row>
    <row r="22" spans="1:4">
      <c r="A22" s="16" t="s">
        <v>41</v>
      </c>
      <c r="B22" s="26">
        <f>SUM(B6:B21)</f>
        <v>944249366.47000003</v>
      </c>
      <c r="C22" s="112">
        <f>SUM(C6:C21)</f>
        <v>105131858.36</v>
      </c>
      <c r="D22" s="118">
        <f>SUM(D6:D21)</f>
        <v>1049381224.8299999</v>
      </c>
    </row>
    <row r="23" spans="1:4" s="3" customFormat="1">
      <c r="A23" s="4"/>
      <c r="B23" s="9"/>
      <c r="C23" s="9"/>
      <c r="D23" s="119"/>
    </row>
    <row r="24" spans="1:4" s="3" customFormat="1">
      <c r="A24" s="14" t="s">
        <v>42</v>
      </c>
      <c r="B24" s="9"/>
      <c r="C24" s="9"/>
      <c r="D24" s="119"/>
    </row>
    <row r="25" spans="1:4" s="3" customFormat="1">
      <c r="A25" s="120" t="s">
        <v>18</v>
      </c>
      <c r="B25" s="113">
        <v>0</v>
      </c>
      <c r="C25" s="111">
        <v>0</v>
      </c>
      <c r="D25" s="119">
        <f t="shared" ref="D25:D35" si="1">B25+C25</f>
        <v>0</v>
      </c>
    </row>
    <row r="26" spans="1:4" s="3" customFormat="1">
      <c r="A26" s="121" t="s">
        <v>26</v>
      </c>
      <c r="B26" s="113">
        <v>102000</v>
      </c>
      <c r="C26" s="111">
        <v>0</v>
      </c>
      <c r="D26" s="122">
        <f t="shared" si="1"/>
        <v>102000</v>
      </c>
    </row>
    <row r="27" spans="1:4" s="3" customFormat="1">
      <c r="A27" s="121" t="s">
        <v>27</v>
      </c>
      <c r="B27" s="113">
        <v>430000</v>
      </c>
      <c r="C27" s="111">
        <v>0</v>
      </c>
      <c r="D27" s="122">
        <f t="shared" si="1"/>
        <v>430000</v>
      </c>
    </row>
    <row r="28" spans="1:4" s="3" customFormat="1">
      <c r="A28" s="121" t="s">
        <v>28</v>
      </c>
      <c r="B28" s="113">
        <v>371000</v>
      </c>
      <c r="C28" s="111">
        <v>88000</v>
      </c>
      <c r="D28" s="122">
        <f t="shared" si="1"/>
        <v>459000</v>
      </c>
    </row>
    <row r="29" spans="1:4" s="3" customFormat="1">
      <c r="A29" s="121" t="s">
        <v>29</v>
      </c>
      <c r="B29" s="113">
        <v>287438</v>
      </c>
      <c r="C29" s="111">
        <v>90210</v>
      </c>
      <c r="D29" s="122">
        <f t="shared" si="1"/>
        <v>377648</v>
      </c>
    </row>
    <row r="30" spans="1:4" s="3" customFormat="1">
      <c r="A30" s="121" t="s">
        <v>30</v>
      </c>
      <c r="B30" s="113">
        <v>94047</v>
      </c>
      <c r="C30" s="111">
        <v>0</v>
      </c>
      <c r="D30" s="122">
        <f t="shared" si="1"/>
        <v>94047</v>
      </c>
    </row>
    <row r="31" spans="1:4" s="3" customFormat="1">
      <c r="A31" s="121" t="s">
        <v>31</v>
      </c>
      <c r="B31" s="113">
        <v>152000</v>
      </c>
      <c r="C31" s="111">
        <v>36000</v>
      </c>
      <c r="D31" s="122">
        <f t="shared" si="1"/>
        <v>188000</v>
      </c>
    </row>
    <row r="32" spans="1:4" s="3" customFormat="1">
      <c r="A32" s="121" t="s">
        <v>32</v>
      </c>
      <c r="B32" s="113">
        <v>464878</v>
      </c>
      <c r="C32" s="111">
        <v>0</v>
      </c>
      <c r="D32" s="122">
        <f t="shared" si="1"/>
        <v>464878</v>
      </c>
    </row>
    <row r="33" spans="1:4" s="3" customFormat="1">
      <c r="A33" s="121" t="s">
        <v>33</v>
      </c>
      <c r="B33" s="113">
        <v>473880</v>
      </c>
      <c r="C33" s="111">
        <v>86000</v>
      </c>
      <c r="D33" s="122">
        <f t="shared" si="1"/>
        <v>559880</v>
      </c>
    </row>
    <row r="34" spans="1:4" s="3" customFormat="1">
      <c r="A34" s="121" t="s">
        <v>34</v>
      </c>
      <c r="B34" s="113">
        <v>1005000</v>
      </c>
      <c r="C34" s="111">
        <v>370000</v>
      </c>
      <c r="D34" s="122">
        <f t="shared" si="1"/>
        <v>1375000</v>
      </c>
    </row>
    <row r="35" spans="1:4" s="3" customFormat="1">
      <c r="A35" s="121" t="s">
        <v>35</v>
      </c>
      <c r="B35" s="113">
        <v>25000</v>
      </c>
      <c r="C35" s="111">
        <v>0</v>
      </c>
      <c r="D35" s="122">
        <f t="shared" si="1"/>
        <v>25000</v>
      </c>
    </row>
    <row r="36" spans="1:4" s="3" customFormat="1">
      <c r="A36" s="16" t="s">
        <v>43</v>
      </c>
      <c r="B36" s="11">
        <f>SUM(B25:B35)</f>
        <v>3405243</v>
      </c>
      <c r="C36" s="11">
        <f>SUM(C25:C35)</f>
        <v>670210</v>
      </c>
      <c r="D36" s="102">
        <f>SUM(D25:D35)</f>
        <v>4075453</v>
      </c>
    </row>
    <row r="37" spans="1:4" s="3" customFormat="1">
      <c r="A37" s="4"/>
      <c r="B37" s="9"/>
      <c r="C37" s="9"/>
      <c r="D37" s="119"/>
    </row>
    <row r="38" spans="1:4" s="3" customFormat="1">
      <c r="A38" s="17" t="s">
        <v>36</v>
      </c>
      <c r="B38" s="12">
        <f>B22+B36</f>
        <v>947654609.47000003</v>
      </c>
      <c r="C38" s="12">
        <f>C22+C36</f>
        <v>105802068.36</v>
      </c>
      <c r="D38" s="103">
        <f>D22+D36</f>
        <v>1053456677.8299999</v>
      </c>
    </row>
    <row r="39" spans="1:4" s="3" customFormat="1">
      <c r="A39" s="4"/>
      <c r="B39" s="9"/>
      <c r="C39" s="9"/>
      <c r="D39" s="119"/>
    </row>
    <row r="40" spans="1:4" s="3" customFormat="1">
      <c r="A40" s="4"/>
      <c r="B40" s="9"/>
      <c r="C40" s="9"/>
      <c r="D40" s="119"/>
    </row>
    <row r="41" spans="1:4">
      <c r="A41" s="14" t="s">
        <v>44</v>
      </c>
      <c r="B41" s="22"/>
      <c r="C41" s="22"/>
      <c r="D41" s="96"/>
    </row>
    <row r="42" spans="1:4">
      <c r="A42" s="133" t="s">
        <v>45</v>
      </c>
      <c r="B42" s="132">
        <v>41611540</v>
      </c>
      <c r="C42" s="111">
        <v>9540106</v>
      </c>
      <c r="D42" s="117">
        <f t="shared" ref="D42:D78" si="2">B42+C42</f>
        <v>51151646</v>
      </c>
    </row>
    <row r="43" spans="1:4">
      <c r="A43" s="116" t="s">
        <v>46</v>
      </c>
      <c r="B43" s="113">
        <v>900000</v>
      </c>
      <c r="C43" s="111">
        <v>1730000</v>
      </c>
      <c r="D43" s="117">
        <f t="shared" si="2"/>
        <v>2630000</v>
      </c>
    </row>
    <row r="44" spans="1:4">
      <c r="A44" s="116" t="s">
        <v>47</v>
      </c>
      <c r="B44" s="113">
        <v>2229904</v>
      </c>
      <c r="C44" s="111">
        <v>263771</v>
      </c>
      <c r="D44" s="117">
        <f t="shared" si="2"/>
        <v>2493675</v>
      </c>
    </row>
    <row r="45" spans="1:4">
      <c r="A45" s="116" t="s">
        <v>48</v>
      </c>
      <c r="B45" s="113">
        <v>12918000</v>
      </c>
      <c r="C45" s="111">
        <v>2090000</v>
      </c>
      <c r="D45" s="117">
        <f t="shared" si="2"/>
        <v>15008000</v>
      </c>
    </row>
    <row r="46" spans="1:4">
      <c r="A46" s="116" t="s">
        <v>49</v>
      </c>
      <c r="B46" s="113">
        <v>2050000</v>
      </c>
      <c r="C46" s="111">
        <v>354000</v>
      </c>
      <c r="D46" s="117">
        <f t="shared" si="2"/>
        <v>2404000</v>
      </c>
    </row>
    <row r="47" spans="1:4">
      <c r="A47" s="116" t="s">
        <v>50</v>
      </c>
      <c r="B47" s="113">
        <v>2774880</v>
      </c>
      <c r="C47" s="111">
        <v>426160</v>
      </c>
      <c r="D47" s="117">
        <f t="shared" si="2"/>
        <v>3201040</v>
      </c>
    </row>
    <row r="48" spans="1:4">
      <c r="A48" s="116" t="s">
        <v>51</v>
      </c>
      <c r="B48" s="113">
        <v>37856000</v>
      </c>
      <c r="C48" s="111">
        <v>6570000</v>
      </c>
      <c r="D48" s="117">
        <f t="shared" si="2"/>
        <v>44426000</v>
      </c>
    </row>
    <row r="49" spans="1:4">
      <c r="A49" s="116" t="s">
        <v>52</v>
      </c>
      <c r="B49" s="113">
        <v>478000</v>
      </c>
      <c r="C49" s="111">
        <v>50000</v>
      </c>
      <c r="D49" s="117">
        <f t="shared" si="2"/>
        <v>528000</v>
      </c>
    </row>
    <row r="50" spans="1:4">
      <c r="A50" s="116" t="s">
        <v>53</v>
      </c>
      <c r="B50" s="113">
        <v>9437000</v>
      </c>
      <c r="C50" s="111">
        <v>1255200</v>
      </c>
      <c r="D50" s="117">
        <f t="shared" si="2"/>
        <v>10692200</v>
      </c>
    </row>
    <row r="51" spans="1:4">
      <c r="A51" s="116" t="s">
        <v>54</v>
      </c>
      <c r="B51" s="113">
        <v>2000000</v>
      </c>
      <c r="C51" s="111">
        <v>0</v>
      </c>
      <c r="D51" s="117">
        <f t="shared" si="2"/>
        <v>2000000</v>
      </c>
    </row>
    <row r="52" spans="1:4">
      <c r="A52" s="116" t="s">
        <v>55</v>
      </c>
      <c r="B52" s="113">
        <v>14284000</v>
      </c>
      <c r="C52" s="111">
        <v>1785000</v>
      </c>
      <c r="D52" s="117">
        <f t="shared" si="2"/>
        <v>16069000</v>
      </c>
    </row>
    <row r="53" spans="1:4">
      <c r="A53" s="116" t="s">
        <v>56</v>
      </c>
      <c r="B53" s="113">
        <v>3279900</v>
      </c>
      <c r="C53" s="111">
        <v>-521500</v>
      </c>
      <c r="D53" s="117">
        <f t="shared" si="2"/>
        <v>2758400</v>
      </c>
    </row>
    <row r="54" spans="1:4">
      <c r="A54" s="116" t="s">
        <v>58</v>
      </c>
      <c r="B54" s="113">
        <v>5000000</v>
      </c>
      <c r="C54" s="111">
        <v>0</v>
      </c>
      <c r="D54" s="117">
        <f t="shared" si="2"/>
        <v>5000000</v>
      </c>
    </row>
    <row r="55" spans="1:4">
      <c r="A55" s="116" t="s">
        <v>59</v>
      </c>
      <c r="B55" s="113">
        <v>14246000</v>
      </c>
      <c r="C55" s="111">
        <v>500000</v>
      </c>
      <c r="D55" s="117">
        <f t="shared" si="2"/>
        <v>14746000</v>
      </c>
    </row>
    <row r="56" spans="1:4">
      <c r="A56" s="116" t="s">
        <v>120</v>
      </c>
      <c r="B56" s="113">
        <v>14861600</v>
      </c>
      <c r="C56" s="111">
        <v>269000</v>
      </c>
      <c r="D56" s="117">
        <f t="shared" si="2"/>
        <v>15130600</v>
      </c>
    </row>
    <row r="57" spans="1:4">
      <c r="A57" s="116" t="s">
        <v>61</v>
      </c>
      <c r="B57" s="113">
        <v>16570775</v>
      </c>
      <c r="C57" s="111">
        <v>3632000</v>
      </c>
      <c r="D57" s="117">
        <f t="shared" si="2"/>
        <v>20202775</v>
      </c>
    </row>
    <row r="58" spans="1:4">
      <c r="A58" s="116" t="s">
        <v>60</v>
      </c>
      <c r="B58" s="113">
        <v>9916900</v>
      </c>
      <c r="C58" s="111">
        <v>0</v>
      </c>
      <c r="D58" s="117">
        <f t="shared" si="2"/>
        <v>9916900</v>
      </c>
    </row>
    <row r="59" spans="1:4">
      <c r="A59" s="116" t="s">
        <v>62</v>
      </c>
      <c r="B59" s="113">
        <v>0</v>
      </c>
      <c r="C59" s="111">
        <v>0</v>
      </c>
      <c r="D59" s="117">
        <f t="shared" si="2"/>
        <v>0</v>
      </c>
    </row>
    <row r="60" spans="1:4">
      <c r="A60" s="116" t="s">
        <v>63</v>
      </c>
      <c r="B60" s="113">
        <v>1429500</v>
      </c>
      <c r="C60" s="111">
        <v>-95000</v>
      </c>
      <c r="D60" s="117">
        <f t="shared" si="2"/>
        <v>1334500</v>
      </c>
    </row>
    <row r="61" spans="1:4">
      <c r="A61" s="116" t="s">
        <v>64</v>
      </c>
      <c r="B61" s="113">
        <v>780000</v>
      </c>
      <c r="C61" s="111">
        <v>375000</v>
      </c>
      <c r="D61" s="117">
        <f t="shared" si="2"/>
        <v>1155000</v>
      </c>
    </row>
    <row r="62" spans="1:4">
      <c r="A62" s="116" t="s">
        <v>65</v>
      </c>
      <c r="B62" s="113">
        <v>9696700</v>
      </c>
      <c r="C62" s="111">
        <v>0</v>
      </c>
      <c r="D62" s="117">
        <f t="shared" si="2"/>
        <v>9696700</v>
      </c>
    </row>
    <row r="63" spans="1:4">
      <c r="A63" s="116" t="s">
        <v>66</v>
      </c>
      <c r="B63" s="113">
        <v>1174720</v>
      </c>
      <c r="C63" s="111">
        <v>1400000</v>
      </c>
      <c r="D63" s="117">
        <f t="shared" si="2"/>
        <v>2574720</v>
      </c>
    </row>
    <row r="64" spans="1:4">
      <c r="A64" s="116" t="s">
        <v>67</v>
      </c>
      <c r="B64" s="113">
        <v>7177000</v>
      </c>
      <c r="C64" s="111">
        <v>25200000</v>
      </c>
      <c r="D64" s="117">
        <f t="shared" si="2"/>
        <v>32377000</v>
      </c>
    </row>
    <row r="65" spans="1:4">
      <c r="A65" s="116" t="s">
        <v>68</v>
      </c>
      <c r="B65" s="113">
        <v>3060000</v>
      </c>
      <c r="C65" s="111">
        <v>650000</v>
      </c>
      <c r="D65" s="117">
        <f t="shared" si="2"/>
        <v>3710000</v>
      </c>
    </row>
    <row r="66" spans="1:4">
      <c r="A66" s="116" t="s">
        <v>69</v>
      </c>
      <c r="B66" s="113">
        <v>40615980</v>
      </c>
      <c r="C66" s="111">
        <v>0</v>
      </c>
      <c r="D66" s="117">
        <f t="shared" si="2"/>
        <v>40615980</v>
      </c>
    </row>
    <row r="67" spans="1:4">
      <c r="A67" s="116" t="s">
        <v>71</v>
      </c>
      <c r="B67" s="113">
        <v>3033450</v>
      </c>
      <c r="C67" s="111">
        <v>1766200</v>
      </c>
      <c r="D67" s="117">
        <f t="shared" si="2"/>
        <v>4799650</v>
      </c>
    </row>
    <row r="68" spans="1:4">
      <c r="A68" s="116" t="s">
        <v>72</v>
      </c>
      <c r="B68" s="113">
        <v>825000</v>
      </c>
      <c r="C68" s="111">
        <v>300000</v>
      </c>
      <c r="D68" s="117">
        <f t="shared" si="2"/>
        <v>1125000</v>
      </c>
    </row>
    <row r="69" spans="1:4">
      <c r="A69" s="116" t="s">
        <v>73</v>
      </c>
      <c r="B69" s="113">
        <v>26680675</v>
      </c>
      <c r="C69" s="111">
        <v>6200000</v>
      </c>
      <c r="D69" s="117">
        <f t="shared" si="2"/>
        <v>32880675</v>
      </c>
    </row>
    <row r="70" spans="1:4">
      <c r="A70" s="116" t="s">
        <v>74</v>
      </c>
      <c r="B70" s="113">
        <v>7612500</v>
      </c>
      <c r="C70" s="111">
        <v>1336000</v>
      </c>
      <c r="D70" s="117">
        <f t="shared" si="2"/>
        <v>8948500</v>
      </c>
    </row>
    <row r="71" spans="1:4">
      <c r="A71" s="116" t="s">
        <v>75</v>
      </c>
      <c r="B71" s="113">
        <v>0</v>
      </c>
      <c r="C71" s="111">
        <v>0</v>
      </c>
      <c r="D71" s="117">
        <f t="shared" si="2"/>
        <v>0</v>
      </c>
    </row>
    <row r="72" spans="1:4">
      <c r="A72" s="116" t="s">
        <v>76</v>
      </c>
      <c r="B72" s="113">
        <v>1340000</v>
      </c>
      <c r="C72" s="111">
        <v>440000</v>
      </c>
      <c r="D72" s="117">
        <f t="shared" si="2"/>
        <v>1780000</v>
      </c>
    </row>
    <row r="73" spans="1:4">
      <c r="A73" s="116" t="s">
        <v>77</v>
      </c>
      <c r="B73" s="113">
        <v>120720510</v>
      </c>
      <c r="C73" s="111">
        <v>23476000</v>
      </c>
      <c r="D73" s="117">
        <f t="shared" si="2"/>
        <v>144196510</v>
      </c>
    </row>
    <row r="74" spans="1:4">
      <c r="A74" s="116" t="s">
        <v>78</v>
      </c>
      <c r="B74" s="113">
        <v>1173300</v>
      </c>
      <c r="C74" s="111">
        <v>705100</v>
      </c>
      <c r="D74" s="117">
        <f t="shared" si="2"/>
        <v>1878400</v>
      </c>
    </row>
    <row r="75" spans="1:4">
      <c r="A75" s="116" t="s">
        <v>79</v>
      </c>
      <c r="B75" s="113">
        <v>9944600</v>
      </c>
      <c r="C75" s="111">
        <v>730000</v>
      </c>
      <c r="D75" s="117">
        <f t="shared" si="2"/>
        <v>10674600</v>
      </c>
    </row>
    <row r="76" spans="1:4">
      <c r="A76" s="116" t="s">
        <v>80</v>
      </c>
      <c r="B76" s="113">
        <v>7212900</v>
      </c>
      <c r="C76" s="111">
        <v>500000</v>
      </c>
      <c r="D76" s="117">
        <f t="shared" si="2"/>
        <v>7712900</v>
      </c>
    </row>
    <row r="77" spans="1:4">
      <c r="A77" s="116" t="s">
        <v>119</v>
      </c>
      <c r="B77" s="113">
        <v>65000000</v>
      </c>
      <c r="C77" s="111">
        <v>0</v>
      </c>
      <c r="D77" s="117">
        <f t="shared" si="2"/>
        <v>65000000</v>
      </c>
    </row>
    <row r="78" spans="1:4" ht="16.3" thickBot="1">
      <c r="A78" s="27" t="s">
        <v>81</v>
      </c>
      <c r="B78" s="114">
        <f>ROUND(SUBTOTAL(9, B41:B77), 5)</f>
        <v>497891334</v>
      </c>
      <c r="C78" s="114">
        <f>ROUND(SUBTOTAL(9, C41:C77), 5)</f>
        <v>90927037</v>
      </c>
      <c r="D78" s="123">
        <f t="shared" si="2"/>
        <v>588818371</v>
      </c>
    </row>
    <row r="79" spans="1:4" s="3" customFormat="1" ht="16.3" thickTop="1">
      <c r="A79" s="6"/>
      <c r="B79" s="9"/>
      <c r="C79" s="9"/>
      <c r="D79" s="119"/>
    </row>
    <row r="80" spans="1:4">
      <c r="A80" s="124" t="s">
        <v>82</v>
      </c>
      <c r="B80" s="115">
        <f>(ROUND(B6+B38-B78, 5))</f>
        <v>503553711.94</v>
      </c>
      <c r="C80" s="115">
        <f>C38-C78</f>
        <v>14875031.359999999</v>
      </c>
      <c r="D80" s="115">
        <v>521357486.66000003</v>
      </c>
    </row>
    <row r="81" spans="1:4">
      <c r="A81" s="126"/>
      <c r="D81" s="127"/>
    </row>
    <row r="82" spans="1:4">
      <c r="A82" s="14" t="s">
        <v>104</v>
      </c>
      <c r="B82" s="24"/>
      <c r="C82" s="24"/>
      <c r="D82" s="96"/>
    </row>
    <row r="83" spans="1:4" ht="15.75" customHeight="1">
      <c r="A83" s="21" t="s">
        <v>37</v>
      </c>
      <c r="B83" s="42">
        <v>-419399000</v>
      </c>
      <c r="C83" s="182">
        <v>-10062500</v>
      </c>
      <c r="D83" s="96">
        <f>B83+C83</f>
        <v>-429461500</v>
      </c>
    </row>
    <row r="84" spans="1:4">
      <c r="A84" s="21" t="s">
        <v>87</v>
      </c>
      <c r="B84" s="42">
        <v>-6196600</v>
      </c>
      <c r="C84" s="42">
        <v>0</v>
      </c>
      <c r="D84" s="96">
        <f>B84+C84</f>
        <v>-6196600</v>
      </c>
    </row>
    <row r="85" spans="1:4">
      <c r="A85" s="36" t="s">
        <v>88</v>
      </c>
      <c r="B85" s="42">
        <v>-474600</v>
      </c>
      <c r="C85" s="42"/>
      <c r="D85" s="96">
        <f>B85+C85</f>
        <v>-474600</v>
      </c>
    </row>
    <row r="86" spans="1:4">
      <c r="A86" s="36" t="s">
        <v>38</v>
      </c>
      <c r="B86" s="42">
        <v>0</v>
      </c>
      <c r="C86" s="42"/>
      <c r="D86" s="96">
        <f>B86+C86</f>
        <v>0</v>
      </c>
    </row>
    <row r="87" spans="1:4">
      <c r="A87" s="128" t="s">
        <v>133</v>
      </c>
      <c r="B87" s="42"/>
      <c r="C87" s="42"/>
      <c r="D87" s="96"/>
    </row>
    <row r="88" spans="1:4">
      <c r="A88" s="128" t="s">
        <v>167</v>
      </c>
      <c r="B88" s="42"/>
      <c r="C88" s="42">
        <v>55802.64</v>
      </c>
      <c r="D88" s="96">
        <f>C88</f>
        <v>55802.64</v>
      </c>
    </row>
    <row r="89" spans="1:4">
      <c r="A89" s="128" t="s">
        <v>165</v>
      </c>
      <c r="B89" s="42"/>
      <c r="C89" s="42">
        <v>-55305</v>
      </c>
      <c r="D89" s="96">
        <f>C89</f>
        <v>-55305</v>
      </c>
    </row>
    <row r="90" spans="1:4">
      <c r="A90" s="128" t="s">
        <v>166</v>
      </c>
      <c r="B90" s="43">
        <v>5044</v>
      </c>
      <c r="C90" s="43">
        <v>68422.899999999994</v>
      </c>
      <c r="D90" s="129">
        <f>B90+C90</f>
        <v>73466.899999999994</v>
      </c>
    </row>
    <row r="91" spans="1:4">
      <c r="A91" s="36"/>
      <c r="B91" s="24"/>
      <c r="C91" s="24"/>
      <c r="D91" s="96"/>
    </row>
    <row r="92" spans="1:4">
      <c r="A92" s="32" t="s">
        <v>105</v>
      </c>
      <c r="B92" s="35">
        <f>B84+B85+B90+B83+B86</f>
        <v>-426065156</v>
      </c>
      <c r="C92" s="35">
        <f>C84+C85+C90+C83+C86+C88+C89</f>
        <v>-9993579.459999999</v>
      </c>
      <c r="D92" s="97">
        <f>SUM(D83:D90)</f>
        <v>-436058735.46000004</v>
      </c>
    </row>
    <row r="93" spans="1:4">
      <c r="A93" s="21"/>
      <c r="B93" s="24"/>
      <c r="C93" s="24"/>
      <c r="D93" s="96"/>
    </row>
    <row r="94" spans="1:4">
      <c r="A94" s="21"/>
      <c r="B94" s="24"/>
      <c r="C94" s="24"/>
      <c r="D94" s="96"/>
    </row>
    <row r="95" spans="1:4" ht="16.3" thickBot="1">
      <c r="A95" s="38" t="s">
        <v>106</v>
      </c>
      <c r="B95" s="40">
        <v>77013589.939999998</v>
      </c>
      <c r="C95" s="40">
        <f>C80+C92</f>
        <v>4881451.9000000004</v>
      </c>
      <c r="D95" s="108">
        <f>D80+D92</f>
        <v>85298751.199999988</v>
      </c>
    </row>
    <row r="96" spans="1:4" ht="16.75" thickTop="1" thickBot="1">
      <c r="A96" s="7"/>
      <c r="B96" s="98"/>
      <c r="C96" s="98"/>
      <c r="D96" s="44"/>
    </row>
    <row r="97" spans="1:4">
      <c r="A97" s="130"/>
      <c r="B97" s="131"/>
      <c r="C97" s="131"/>
      <c r="D97" s="131"/>
    </row>
    <row r="98" spans="1:4">
      <c r="D98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69B5-D347-49C5-B36E-5CF740C0A1CF}">
  <sheetPr>
    <pageSetUpPr fitToPage="1"/>
  </sheetPr>
  <dimension ref="A1:D99"/>
  <sheetViews>
    <sheetView topLeftCell="A19" workbookViewId="0">
      <selection activeCell="D6" sqref="D6"/>
    </sheetView>
  </sheetViews>
  <sheetFormatPr defaultColWidth="9.3046875" defaultRowHeight="15.9"/>
  <cols>
    <col min="1" max="1" width="38" style="20" customWidth="1"/>
    <col min="2" max="3" width="21.69140625" style="20" customWidth="1"/>
    <col min="4" max="4" width="20.3046875" style="23" customWidth="1"/>
    <col min="5" max="16384" width="9.30468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45869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113</v>
      </c>
      <c r="D5" s="99" t="s">
        <v>130</v>
      </c>
    </row>
    <row r="6" spans="1:4">
      <c r="A6" s="116" t="s">
        <v>39</v>
      </c>
      <c r="B6" s="211">
        <v>56719179.829999991</v>
      </c>
      <c r="C6" s="10">
        <v>4757226.87</v>
      </c>
      <c r="D6" s="117">
        <f>B6+C6</f>
        <v>61476406.699999988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2">
        <v>1056730</v>
      </c>
      <c r="C8" s="111">
        <v>343310</v>
      </c>
      <c r="D8" s="117">
        <f t="shared" ref="D8:D22" si="0">B8+C8</f>
        <v>1400040</v>
      </c>
    </row>
    <row r="9" spans="1:4">
      <c r="A9" s="116" t="s">
        <v>10</v>
      </c>
      <c r="B9" s="42">
        <v>100274061</v>
      </c>
      <c r="C9" s="111">
        <v>31564548</v>
      </c>
      <c r="D9" s="117">
        <f t="shared" si="0"/>
        <v>131838609</v>
      </c>
    </row>
    <row r="10" spans="1:4">
      <c r="A10" s="116" t="s">
        <v>11</v>
      </c>
      <c r="B10" s="42">
        <v>372018488</v>
      </c>
      <c r="C10" s="111">
        <v>172134500</v>
      </c>
      <c r="D10" s="117">
        <f t="shared" si="0"/>
        <v>544152988</v>
      </c>
    </row>
    <row r="11" spans="1:4">
      <c r="A11" s="116" t="s">
        <v>12</v>
      </c>
      <c r="B11" s="42">
        <v>378908759</v>
      </c>
      <c r="C11" s="111">
        <v>61766568</v>
      </c>
      <c r="D11" s="117">
        <f t="shared" si="0"/>
        <v>440675327</v>
      </c>
    </row>
    <row r="12" spans="1:4">
      <c r="A12" s="116" t="s">
        <v>14</v>
      </c>
      <c r="B12" s="42">
        <v>5219056</v>
      </c>
      <c r="C12" s="111">
        <v>6499411</v>
      </c>
      <c r="D12" s="117">
        <f t="shared" si="0"/>
        <v>11718467</v>
      </c>
    </row>
    <row r="13" spans="1:4">
      <c r="A13" s="116" t="s">
        <v>132</v>
      </c>
      <c r="B13" s="42">
        <v>0</v>
      </c>
      <c r="C13" s="111">
        <v>0</v>
      </c>
      <c r="D13" s="117">
        <f t="shared" si="0"/>
        <v>0</v>
      </c>
    </row>
    <row r="14" spans="1:4">
      <c r="A14" s="116" t="s">
        <v>15</v>
      </c>
      <c r="B14" s="42">
        <v>26764905</v>
      </c>
      <c r="C14" s="111">
        <v>1043199</v>
      </c>
      <c r="D14" s="117">
        <f t="shared" si="0"/>
        <v>27808104</v>
      </c>
    </row>
    <row r="15" spans="1:4">
      <c r="A15" s="116" t="s">
        <v>16</v>
      </c>
      <c r="B15" s="42">
        <v>97719519</v>
      </c>
      <c r="C15" s="111">
        <v>27035344</v>
      </c>
      <c r="D15" s="117">
        <f t="shared" si="0"/>
        <v>124754863</v>
      </c>
    </row>
    <row r="16" spans="1:4">
      <c r="A16" s="116" t="s">
        <v>17</v>
      </c>
      <c r="B16" s="42">
        <v>2000</v>
      </c>
      <c r="C16" s="111">
        <v>0</v>
      </c>
      <c r="D16" s="117">
        <f t="shared" si="0"/>
        <v>2000</v>
      </c>
    </row>
    <row r="17" spans="1:4">
      <c r="A17" s="116" t="s">
        <v>21</v>
      </c>
      <c r="B17" s="42">
        <v>1688039</v>
      </c>
      <c r="C17" s="111">
        <v>217830</v>
      </c>
      <c r="D17" s="117">
        <f t="shared" si="0"/>
        <v>1905869</v>
      </c>
    </row>
    <row r="18" spans="1:4">
      <c r="A18" s="116" t="s">
        <v>22</v>
      </c>
      <c r="B18" s="42">
        <v>3215000</v>
      </c>
      <c r="C18" s="111">
        <v>592000</v>
      </c>
      <c r="D18" s="117">
        <f t="shared" si="0"/>
        <v>3807000</v>
      </c>
    </row>
    <row r="19" spans="1:4">
      <c r="A19" s="116" t="s">
        <v>23</v>
      </c>
      <c r="B19" s="42">
        <v>1147586</v>
      </c>
      <c r="C19" s="111">
        <v>150490</v>
      </c>
      <c r="D19" s="117">
        <f t="shared" si="0"/>
        <v>1298076</v>
      </c>
    </row>
    <row r="20" spans="1:4">
      <c r="A20" s="116" t="s">
        <v>164</v>
      </c>
      <c r="B20" s="42">
        <v>1361736</v>
      </c>
      <c r="C20" s="111">
        <v>416000</v>
      </c>
      <c r="D20" s="117">
        <f t="shared" si="0"/>
        <v>1777736</v>
      </c>
    </row>
    <row r="21" spans="1:4">
      <c r="A21" s="116" t="s">
        <v>24</v>
      </c>
      <c r="B21" s="42">
        <v>3286166</v>
      </c>
      <c r="C21" s="111">
        <v>3410000</v>
      </c>
      <c r="D21" s="117">
        <f t="shared" si="0"/>
        <v>6696166</v>
      </c>
    </row>
    <row r="22" spans="1:4">
      <c r="A22" s="16" t="s">
        <v>41</v>
      </c>
      <c r="B22" s="26">
        <f>SUM(B6:B21)</f>
        <v>1049381224.8299999</v>
      </c>
      <c r="C22" s="26">
        <f>SUM(C6:C21)</f>
        <v>309930426.87</v>
      </c>
      <c r="D22" s="118">
        <f t="shared" si="0"/>
        <v>1359311651.6999998</v>
      </c>
    </row>
    <row r="23" spans="1:4" s="3" customFormat="1">
      <c r="A23" s="4"/>
      <c r="B23" s="9"/>
      <c r="C23" s="9"/>
      <c r="D23" s="119"/>
    </row>
    <row r="24" spans="1:4" s="3" customFormat="1">
      <c r="A24" s="14" t="s">
        <v>42</v>
      </c>
      <c r="B24" s="9"/>
      <c r="C24" s="9"/>
      <c r="D24" s="119"/>
    </row>
    <row r="25" spans="1:4" s="3" customFormat="1">
      <c r="A25" s="120" t="s">
        <v>18</v>
      </c>
      <c r="B25" s="42">
        <v>0</v>
      </c>
      <c r="C25" s="111">
        <v>0</v>
      </c>
      <c r="D25" s="119">
        <f t="shared" ref="D25:D35" si="1">B25+C25</f>
        <v>0</v>
      </c>
    </row>
    <row r="26" spans="1:4" s="3" customFormat="1">
      <c r="A26" s="121" t="s">
        <v>26</v>
      </c>
      <c r="B26" s="42">
        <v>102000</v>
      </c>
      <c r="C26" s="111">
        <v>0</v>
      </c>
      <c r="D26" s="122">
        <f t="shared" si="1"/>
        <v>102000</v>
      </c>
    </row>
    <row r="27" spans="1:4" s="3" customFormat="1">
      <c r="A27" s="121" t="s">
        <v>27</v>
      </c>
      <c r="B27" s="42">
        <v>430000</v>
      </c>
      <c r="C27" s="111">
        <v>0</v>
      </c>
      <c r="D27" s="122">
        <f t="shared" si="1"/>
        <v>430000</v>
      </c>
    </row>
    <row r="28" spans="1:4" s="3" customFormat="1">
      <c r="A28" s="121" t="s">
        <v>28</v>
      </c>
      <c r="B28" s="42">
        <v>459000</v>
      </c>
      <c r="C28" s="111">
        <v>168000</v>
      </c>
      <c r="D28" s="122">
        <f t="shared" si="1"/>
        <v>627000</v>
      </c>
    </row>
    <row r="29" spans="1:4" s="3" customFormat="1">
      <c r="A29" s="121" t="s">
        <v>29</v>
      </c>
      <c r="B29" s="42">
        <v>377648</v>
      </c>
      <c r="C29" s="111">
        <v>108244</v>
      </c>
      <c r="D29" s="122">
        <f t="shared" si="1"/>
        <v>485892</v>
      </c>
    </row>
    <row r="30" spans="1:4" s="3" customFormat="1">
      <c r="A30" s="121" t="s">
        <v>30</v>
      </c>
      <c r="B30" s="42">
        <v>94047</v>
      </c>
      <c r="C30" s="111">
        <v>0</v>
      </c>
      <c r="D30" s="122">
        <f t="shared" si="1"/>
        <v>94047</v>
      </c>
    </row>
    <row r="31" spans="1:4" s="3" customFormat="1">
      <c r="A31" s="121" t="s">
        <v>31</v>
      </c>
      <c r="B31" s="42">
        <v>188000</v>
      </c>
      <c r="C31" s="111">
        <v>0</v>
      </c>
      <c r="D31" s="122">
        <f t="shared" si="1"/>
        <v>188000</v>
      </c>
    </row>
    <row r="32" spans="1:4" s="3" customFormat="1">
      <c r="A32" s="121" t="s">
        <v>32</v>
      </c>
      <c r="B32" s="42">
        <v>464878</v>
      </c>
      <c r="C32" s="111">
        <v>0</v>
      </c>
      <c r="D32" s="122">
        <f t="shared" si="1"/>
        <v>464878</v>
      </c>
    </row>
    <row r="33" spans="1:4" s="3" customFormat="1">
      <c r="A33" s="121" t="s">
        <v>33</v>
      </c>
      <c r="B33" s="42">
        <v>559880</v>
      </c>
      <c r="C33" s="111">
        <v>0</v>
      </c>
      <c r="D33" s="122">
        <f t="shared" si="1"/>
        <v>559880</v>
      </c>
    </row>
    <row r="34" spans="1:4" s="3" customFormat="1">
      <c r="A34" s="121" t="s">
        <v>34</v>
      </c>
      <c r="B34" s="42">
        <v>1375000</v>
      </c>
      <c r="C34" s="111">
        <v>350000</v>
      </c>
      <c r="D34" s="122">
        <f t="shared" si="1"/>
        <v>1725000</v>
      </c>
    </row>
    <row r="35" spans="1:4" s="3" customFormat="1">
      <c r="A35" s="121" t="s">
        <v>35</v>
      </c>
      <c r="B35" s="42">
        <v>25000</v>
      </c>
      <c r="C35" s="111">
        <v>0</v>
      </c>
      <c r="D35" s="122">
        <f t="shared" si="1"/>
        <v>25000</v>
      </c>
    </row>
    <row r="36" spans="1:4" s="3" customFormat="1">
      <c r="A36" s="16" t="s">
        <v>43</v>
      </c>
      <c r="B36" s="163">
        <f>VLOOKUP(A36,'June Financial Statement'!A36:D123,4,0)</f>
        <v>4075453</v>
      </c>
      <c r="C36" s="11">
        <f>SUM(C25:C35)</f>
        <v>626244</v>
      </c>
      <c r="D36" s="102">
        <f>SUM(D25:D35)</f>
        <v>4701697</v>
      </c>
    </row>
    <row r="37" spans="1:4" s="3" customFormat="1">
      <c r="A37" s="4"/>
      <c r="B37" s="41"/>
      <c r="C37" s="9"/>
      <c r="D37" s="119"/>
    </row>
    <row r="38" spans="1:4" s="3" customFormat="1">
      <c r="A38" s="17" t="s">
        <v>36</v>
      </c>
      <c r="B38" s="164">
        <f>VLOOKUP(A38,'June Financial Statement'!A38:D125,4,0)</f>
        <v>1053456677.8299999</v>
      </c>
      <c r="C38" s="164">
        <f>C22+C36</f>
        <v>310556670.87</v>
      </c>
      <c r="D38" s="103">
        <f>D22+D36</f>
        <v>1364013348.6999998</v>
      </c>
    </row>
    <row r="39" spans="1:4" s="3" customFormat="1">
      <c r="A39" s="4"/>
      <c r="B39" s="9"/>
      <c r="C39" s="9"/>
      <c r="D39" s="119"/>
    </row>
    <row r="40" spans="1:4" s="3" customFormat="1">
      <c r="A40" s="4"/>
      <c r="B40" s="9"/>
      <c r="C40" s="9"/>
      <c r="D40" s="119"/>
    </row>
    <row r="41" spans="1:4">
      <c r="A41" s="14" t="s">
        <v>44</v>
      </c>
      <c r="B41" s="22"/>
      <c r="C41" s="22"/>
      <c r="D41" s="96"/>
    </row>
    <row r="42" spans="1:4">
      <c r="A42" s="133" t="s">
        <v>45</v>
      </c>
      <c r="B42" s="42">
        <v>51151646</v>
      </c>
      <c r="C42" s="111">
        <v>5046786</v>
      </c>
      <c r="D42" s="117">
        <f t="shared" ref="D42:D67" si="2">B42+C42</f>
        <v>56198432</v>
      </c>
    </row>
    <row r="43" spans="1:4">
      <c r="A43" s="116" t="s">
        <v>46</v>
      </c>
      <c r="B43" s="42">
        <v>2630000</v>
      </c>
      <c r="C43" s="111">
        <v>1380000</v>
      </c>
      <c r="D43" s="117">
        <f t="shared" si="2"/>
        <v>4010000</v>
      </c>
    </row>
    <row r="44" spans="1:4">
      <c r="A44" s="116" t="s">
        <v>47</v>
      </c>
      <c r="B44" s="42">
        <v>2493675</v>
      </c>
      <c r="C44" s="111">
        <v>813050</v>
      </c>
      <c r="D44" s="117">
        <f t="shared" si="2"/>
        <v>3306725</v>
      </c>
    </row>
    <row r="45" spans="1:4">
      <c r="A45" s="116" t="s">
        <v>48</v>
      </c>
      <c r="B45" s="42">
        <v>15008000</v>
      </c>
      <c r="C45" s="111">
        <v>8735000</v>
      </c>
      <c r="D45" s="117">
        <f t="shared" si="2"/>
        <v>23743000</v>
      </c>
    </row>
    <row r="46" spans="1:4">
      <c r="A46" s="116" t="s">
        <v>49</v>
      </c>
      <c r="B46" s="42">
        <v>2404000</v>
      </c>
      <c r="C46" s="111">
        <v>492000</v>
      </c>
      <c r="D46" s="117">
        <f t="shared" si="2"/>
        <v>2896000</v>
      </c>
    </row>
    <row r="47" spans="1:4">
      <c r="A47" s="116" t="s">
        <v>50</v>
      </c>
      <c r="B47" s="42">
        <v>3201040</v>
      </c>
      <c r="C47" s="111">
        <v>0</v>
      </c>
      <c r="D47" s="117">
        <f t="shared" si="2"/>
        <v>3201040</v>
      </c>
    </row>
    <row r="48" spans="1:4">
      <c r="A48" s="116" t="s">
        <v>51</v>
      </c>
      <c r="B48" s="42">
        <v>44426000</v>
      </c>
      <c r="C48" s="111">
        <v>9720000</v>
      </c>
      <c r="D48" s="117">
        <f t="shared" si="2"/>
        <v>54146000</v>
      </c>
    </row>
    <row r="49" spans="1:4">
      <c r="A49" s="116" t="s">
        <v>52</v>
      </c>
      <c r="B49" s="42">
        <v>528000</v>
      </c>
      <c r="C49" s="111">
        <v>100000</v>
      </c>
      <c r="D49" s="117">
        <f t="shared" si="2"/>
        <v>628000</v>
      </c>
    </row>
    <row r="50" spans="1:4">
      <c r="A50" s="116" t="s">
        <v>53</v>
      </c>
      <c r="B50" s="42">
        <v>10692200</v>
      </c>
      <c r="C50" s="111">
        <v>1187700</v>
      </c>
      <c r="D50" s="117">
        <f t="shared" si="2"/>
        <v>11879900</v>
      </c>
    </row>
    <row r="51" spans="1:4">
      <c r="A51" s="116" t="s">
        <v>54</v>
      </c>
      <c r="B51" s="42">
        <v>2000000</v>
      </c>
      <c r="C51" s="111">
        <v>0</v>
      </c>
      <c r="D51" s="117">
        <f t="shared" si="2"/>
        <v>2000000</v>
      </c>
    </row>
    <row r="52" spans="1:4">
      <c r="A52" s="116" t="s">
        <v>55</v>
      </c>
      <c r="B52" s="42">
        <v>16069000</v>
      </c>
      <c r="C52" s="111">
        <v>2131000</v>
      </c>
      <c r="D52" s="117">
        <f t="shared" si="2"/>
        <v>18200000</v>
      </c>
    </row>
    <row r="53" spans="1:4">
      <c r="A53" s="116" t="s">
        <v>56</v>
      </c>
      <c r="B53" s="42">
        <v>2758400</v>
      </c>
      <c r="C53" s="111">
        <v>511800</v>
      </c>
      <c r="D53" s="117">
        <f t="shared" si="2"/>
        <v>3270200</v>
      </c>
    </row>
    <row r="54" spans="1:4">
      <c r="A54" s="116" t="s">
        <v>58</v>
      </c>
      <c r="B54" s="42">
        <v>5000000</v>
      </c>
      <c r="C54" s="111">
        <v>0</v>
      </c>
      <c r="D54" s="117">
        <f t="shared" si="2"/>
        <v>5000000</v>
      </c>
    </row>
    <row r="55" spans="1:4">
      <c r="A55" s="116" t="s">
        <v>59</v>
      </c>
      <c r="B55" s="42">
        <v>14746000</v>
      </c>
      <c r="C55" s="111">
        <v>0</v>
      </c>
      <c r="D55" s="117">
        <f t="shared" si="2"/>
        <v>14746000</v>
      </c>
    </row>
    <row r="56" spans="1:4">
      <c r="A56" s="116" t="s">
        <v>120</v>
      </c>
      <c r="B56" s="42">
        <v>15130600</v>
      </c>
      <c r="C56" s="111">
        <v>6645000</v>
      </c>
      <c r="D56" s="117">
        <f t="shared" si="2"/>
        <v>21775600</v>
      </c>
    </row>
    <row r="57" spans="1:4">
      <c r="A57" s="116" t="s">
        <v>61</v>
      </c>
      <c r="B57" s="42">
        <v>20202775</v>
      </c>
      <c r="C57" s="111">
        <v>21000300</v>
      </c>
      <c r="D57" s="117">
        <f t="shared" si="2"/>
        <v>41203075</v>
      </c>
    </row>
    <row r="58" spans="1:4">
      <c r="A58" s="116" t="s">
        <v>60</v>
      </c>
      <c r="B58" s="42">
        <v>9916900</v>
      </c>
      <c r="C58" s="111">
        <v>0</v>
      </c>
      <c r="D58" s="117">
        <f t="shared" si="2"/>
        <v>9916900</v>
      </c>
    </row>
    <row r="59" spans="1:4">
      <c r="A59" s="116" t="s">
        <v>62</v>
      </c>
      <c r="B59" s="42">
        <v>0</v>
      </c>
      <c r="C59" s="111">
        <v>0</v>
      </c>
      <c r="D59" s="117">
        <f t="shared" si="2"/>
        <v>0</v>
      </c>
    </row>
    <row r="60" spans="1:4">
      <c r="A60" s="116" t="s">
        <v>63</v>
      </c>
      <c r="B60" s="42">
        <v>1334500</v>
      </c>
      <c r="C60" s="111">
        <v>486300</v>
      </c>
      <c r="D60" s="117">
        <f t="shared" si="2"/>
        <v>1820800</v>
      </c>
    </row>
    <row r="61" spans="1:4">
      <c r="A61" s="116" t="s">
        <v>64</v>
      </c>
      <c r="B61" s="42">
        <v>1155000</v>
      </c>
      <c r="C61" s="111">
        <v>0</v>
      </c>
      <c r="D61" s="117">
        <f t="shared" si="2"/>
        <v>1155000</v>
      </c>
    </row>
    <row r="62" spans="1:4">
      <c r="A62" s="116" t="s">
        <v>65</v>
      </c>
      <c r="B62" s="42">
        <v>9696700</v>
      </c>
      <c r="C62" s="111">
        <v>1148500</v>
      </c>
      <c r="D62" s="117">
        <f t="shared" si="2"/>
        <v>10845200</v>
      </c>
    </row>
    <row r="63" spans="1:4">
      <c r="A63" s="116" t="s">
        <v>66</v>
      </c>
      <c r="B63" s="42">
        <v>2574720</v>
      </c>
      <c r="C63" s="111">
        <v>1720000</v>
      </c>
      <c r="D63" s="117">
        <f t="shared" si="2"/>
        <v>4294720</v>
      </c>
    </row>
    <row r="64" spans="1:4">
      <c r="A64" s="116" t="s">
        <v>67</v>
      </c>
      <c r="B64" s="42">
        <v>32377000</v>
      </c>
      <c r="C64" s="111">
        <v>2000000</v>
      </c>
      <c r="D64" s="117">
        <f t="shared" si="2"/>
        <v>34377000</v>
      </c>
    </row>
    <row r="65" spans="1:4">
      <c r="A65" s="116" t="s">
        <v>68</v>
      </c>
      <c r="B65" s="42">
        <v>3710000</v>
      </c>
      <c r="C65" s="111">
        <v>0</v>
      </c>
      <c r="D65" s="117">
        <f t="shared" si="2"/>
        <v>3710000</v>
      </c>
    </row>
    <row r="66" spans="1:4">
      <c r="A66" s="116" t="s">
        <v>69</v>
      </c>
      <c r="B66" s="42">
        <v>40615980</v>
      </c>
      <c r="C66" s="111">
        <v>0</v>
      </c>
      <c r="D66" s="117">
        <f t="shared" si="2"/>
        <v>40615980</v>
      </c>
    </row>
    <row r="67" spans="1:4">
      <c r="A67" s="116" t="s">
        <v>71</v>
      </c>
      <c r="B67" s="42">
        <v>4799650</v>
      </c>
      <c r="C67" s="111">
        <v>12031300</v>
      </c>
      <c r="D67" s="117">
        <f t="shared" si="2"/>
        <v>16830950</v>
      </c>
    </row>
    <row r="68" spans="1:4">
      <c r="A68" s="116" t="s">
        <v>70</v>
      </c>
      <c r="B68" s="42">
        <v>0</v>
      </c>
      <c r="C68" s="111">
        <v>0</v>
      </c>
      <c r="D68" s="23">
        <v>0</v>
      </c>
    </row>
    <row r="69" spans="1:4">
      <c r="A69" s="116" t="s">
        <v>72</v>
      </c>
      <c r="B69" s="42">
        <v>1125000</v>
      </c>
      <c r="C69" s="111">
        <v>10367000</v>
      </c>
      <c r="D69" s="117">
        <f t="shared" ref="D69:D78" si="3">B69+C69</f>
        <v>11492000</v>
      </c>
    </row>
    <row r="70" spans="1:4">
      <c r="A70" s="116" t="s">
        <v>73</v>
      </c>
      <c r="B70" s="42">
        <v>32880675</v>
      </c>
      <c r="C70" s="111">
        <v>6820480</v>
      </c>
      <c r="D70" s="117">
        <f t="shared" si="3"/>
        <v>39701155</v>
      </c>
    </row>
    <row r="71" spans="1:4">
      <c r="A71" s="116" t="s">
        <v>74</v>
      </c>
      <c r="B71" s="42">
        <v>8948500</v>
      </c>
      <c r="C71" s="111">
        <v>6945000</v>
      </c>
      <c r="D71" s="117">
        <f t="shared" si="3"/>
        <v>15893500</v>
      </c>
    </row>
    <row r="72" spans="1:4">
      <c r="A72" s="116" t="s">
        <v>75</v>
      </c>
      <c r="B72" s="42">
        <v>0</v>
      </c>
      <c r="C72" s="111">
        <v>0</v>
      </c>
      <c r="D72" s="117">
        <f t="shared" si="3"/>
        <v>0</v>
      </c>
    </row>
    <row r="73" spans="1:4">
      <c r="A73" s="116" t="s">
        <v>76</v>
      </c>
      <c r="B73" s="42">
        <v>1780000</v>
      </c>
      <c r="C73" s="111">
        <v>10727634</v>
      </c>
      <c r="D73" s="117">
        <f t="shared" si="3"/>
        <v>12507634</v>
      </c>
    </row>
    <row r="74" spans="1:4">
      <c r="A74" s="116" t="s">
        <v>77</v>
      </c>
      <c r="B74" s="42">
        <v>144196510</v>
      </c>
      <c r="C74" s="111">
        <v>43535500</v>
      </c>
      <c r="D74" s="117">
        <f t="shared" si="3"/>
        <v>187732010</v>
      </c>
    </row>
    <row r="75" spans="1:4">
      <c r="A75" s="116" t="s">
        <v>78</v>
      </c>
      <c r="B75" s="42">
        <v>1878400</v>
      </c>
      <c r="C75" s="111">
        <v>303500</v>
      </c>
      <c r="D75" s="117">
        <f t="shared" si="3"/>
        <v>2181900</v>
      </c>
    </row>
    <row r="76" spans="1:4">
      <c r="A76" s="116" t="s">
        <v>79</v>
      </c>
      <c r="B76" s="42">
        <v>10674600</v>
      </c>
      <c r="C76" s="111">
        <v>2415350</v>
      </c>
      <c r="D76" s="117">
        <f t="shared" si="3"/>
        <v>13089950</v>
      </c>
    </row>
    <row r="77" spans="1:4">
      <c r="A77" s="116" t="s">
        <v>80</v>
      </c>
      <c r="B77" s="42">
        <v>7712900</v>
      </c>
      <c r="C77" s="111">
        <v>3421800</v>
      </c>
      <c r="D77" s="117">
        <f t="shared" si="3"/>
        <v>11134700</v>
      </c>
    </row>
    <row r="78" spans="1:4">
      <c r="A78" s="116" t="s">
        <v>119</v>
      </c>
      <c r="B78" s="42">
        <v>65000000</v>
      </c>
      <c r="C78" s="111">
        <v>53240000</v>
      </c>
      <c r="D78" s="117">
        <f t="shared" si="3"/>
        <v>118240000</v>
      </c>
    </row>
    <row r="79" spans="1:4" ht="16.3" thickBot="1">
      <c r="A79" s="27" t="s">
        <v>81</v>
      </c>
      <c r="B79" s="191">
        <f>SUM(B42:B78)</f>
        <v>588818371</v>
      </c>
      <c r="C79" s="114">
        <f>ROUND(SUBTOTAL(9, C41:C78), 5)</f>
        <v>212925000</v>
      </c>
      <c r="D79" s="123">
        <f>SUM(D42:D78)</f>
        <v>801743371</v>
      </c>
    </row>
    <row r="80" spans="1:4" s="3" customFormat="1" ht="16.3" thickTop="1">
      <c r="A80" s="6"/>
      <c r="B80" s="9"/>
      <c r="C80" s="9"/>
      <c r="D80" s="119"/>
    </row>
    <row r="81" spans="1:4">
      <c r="A81" s="124" t="s">
        <v>82</v>
      </c>
      <c r="B81" s="115">
        <v>521357486.66000003</v>
      </c>
      <c r="C81" s="115">
        <f>C38-C79</f>
        <v>97631670.870000005</v>
      </c>
      <c r="D81" s="115">
        <f>(ROUND((D6+D38)-D79, 5))</f>
        <v>623746384.39999998</v>
      </c>
    </row>
    <row r="82" spans="1:4">
      <c r="A82" s="126"/>
      <c r="D82" s="127"/>
    </row>
    <row r="83" spans="1:4">
      <c r="A83" s="14" t="s">
        <v>104</v>
      </c>
      <c r="B83" s="24"/>
      <c r="C83" s="24"/>
      <c r="D83" s="96"/>
    </row>
    <row r="84" spans="1:4">
      <c r="A84" s="21" t="s">
        <v>37</v>
      </c>
      <c r="B84" s="42">
        <v>-429461500</v>
      </c>
      <c r="C84" s="111">
        <v>-85552500</v>
      </c>
      <c r="D84" s="96">
        <f>B84+C84</f>
        <v>-515014000</v>
      </c>
    </row>
    <row r="85" spans="1:4">
      <c r="A85" s="21" t="s">
        <v>87</v>
      </c>
      <c r="B85" s="42">
        <v>-6196600</v>
      </c>
      <c r="C85" s="192"/>
      <c r="D85" s="96">
        <f>B85+C85</f>
        <v>-6196600</v>
      </c>
    </row>
    <row r="86" spans="1:4">
      <c r="A86" s="36" t="s">
        <v>88</v>
      </c>
      <c r="B86" s="42">
        <v>-474600</v>
      </c>
      <c r="C86" s="192">
        <v>-2730000</v>
      </c>
      <c r="D86" s="96">
        <f>B86+C86</f>
        <v>-3204600</v>
      </c>
    </row>
    <row r="87" spans="1:4">
      <c r="A87" s="36" t="s">
        <v>38</v>
      </c>
      <c r="B87" s="42">
        <v>0</v>
      </c>
      <c r="C87" s="192"/>
      <c r="D87" s="96">
        <f>B87+C87</f>
        <v>0</v>
      </c>
    </row>
    <row r="88" spans="1:4">
      <c r="A88" s="128" t="s">
        <v>133</v>
      </c>
      <c r="B88" s="42"/>
      <c r="C88" s="192"/>
      <c r="D88" s="96"/>
    </row>
    <row r="89" spans="1:4">
      <c r="A89" s="128" t="s">
        <v>167</v>
      </c>
      <c r="B89" s="42">
        <v>55802.64</v>
      </c>
      <c r="C89" s="192"/>
      <c r="D89" s="96">
        <f>B89</f>
        <v>55802.64</v>
      </c>
    </row>
    <row r="90" spans="1:4">
      <c r="A90" s="128" t="s">
        <v>165</v>
      </c>
      <c r="B90" s="42">
        <v>-55305</v>
      </c>
      <c r="C90" s="192"/>
      <c r="D90" s="96">
        <f>B90</f>
        <v>-55305</v>
      </c>
    </row>
    <row r="91" spans="1:4">
      <c r="A91" s="128" t="s">
        <v>166</v>
      </c>
      <c r="B91" s="43">
        <v>73466.899999999994</v>
      </c>
      <c r="C91" s="192">
        <v>33867.71</v>
      </c>
      <c r="D91" s="129">
        <f>B91+C91</f>
        <v>107334.60999999999</v>
      </c>
    </row>
    <row r="92" spans="1:4">
      <c r="A92" s="36"/>
      <c r="C92" s="24"/>
      <c r="D92" s="96"/>
    </row>
    <row r="93" spans="1:4">
      <c r="A93" s="32" t="s">
        <v>105</v>
      </c>
      <c r="B93" s="35">
        <v>-436058735.45999998</v>
      </c>
      <c r="C93" s="35">
        <f>C85+C86+C91+C84+C87+C88+C90+C89</f>
        <v>-88248632.290000007</v>
      </c>
      <c r="D93" s="97">
        <f>B93+C93</f>
        <v>-524307367.75</v>
      </c>
    </row>
    <row r="94" spans="1:4">
      <c r="A94" s="21"/>
      <c r="B94" s="24"/>
      <c r="C94" s="24"/>
      <c r="D94" s="96"/>
    </row>
    <row r="95" spans="1:4">
      <c r="A95" s="21"/>
      <c r="C95" s="24"/>
      <c r="D95" s="96"/>
    </row>
    <row r="96" spans="1:4" ht="16.3" thickBot="1">
      <c r="A96" s="38" t="s">
        <v>106</v>
      </c>
      <c r="B96" s="24">
        <v>85298751.199999988</v>
      </c>
      <c r="C96" s="40">
        <f>C81+C93</f>
        <v>9383038.5799999982</v>
      </c>
      <c r="D96" s="108">
        <v>98973641.009999931</v>
      </c>
    </row>
    <row r="97" spans="1:4" ht="16.75" thickTop="1" thickBot="1">
      <c r="A97" s="7"/>
      <c r="B97" s="98"/>
      <c r="C97" s="98"/>
      <c r="D97" s="44"/>
    </row>
    <row r="98" spans="1:4">
      <c r="A98" s="130"/>
      <c r="B98" s="131"/>
      <c r="C98" s="131"/>
      <c r="D98" s="131"/>
    </row>
    <row r="99" spans="1:4">
      <c r="D99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55FF-784C-46EA-8415-4F96D6DA6E78}">
  <sheetPr>
    <pageSetUpPr fitToPage="1"/>
  </sheetPr>
  <dimension ref="A1:D98"/>
  <sheetViews>
    <sheetView topLeftCell="A81" workbookViewId="0">
      <selection activeCell="D92" sqref="D92"/>
    </sheetView>
  </sheetViews>
  <sheetFormatPr defaultColWidth="9.3046875" defaultRowHeight="15.9"/>
  <cols>
    <col min="1" max="1" width="38" style="20" customWidth="1"/>
    <col min="2" max="2" width="21.69140625" style="20" customWidth="1"/>
    <col min="3" max="3" width="24.3046875" style="20" customWidth="1"/>
    <col min="4" max="4" width="20.3046875" style="23" customWidth="1"/>
    <col min="5" max="16384" width="9.30468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45900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114</v>
      </c>
      <c r="D5" s="99" t="s">
        <v>130</v>
      </c>
    </row>
    <row r="6" spans="1:4">
      <c r="A6" s="116" t="s">
        <v>39</v>
      </c>
      <c r="B6" s="117">
        <v>61476406.699999988</v>
      </c>
      <c r="C6" s="10">
        <v>9349171.0299999993</v>
      </c>
      <c r="D6" s="117">
        <f>B6+C6</f>
        <v>70825577.729999989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2">
        <v>1400040</v>
      </c>
      <c r="C8" s="111">
        <v>0</v>
      </c>
      <c r="D8" s="117">
        <f t="shared" ref="D8:D21" si="0">B8+C8</f>
        <v>1400040</v>
      </c>
    </row>
    <row r="9" spans="1:4">
      <c r="A9" s="116" t="s">
        <v>10</v>
      </c>
      <c r="B9" s="42">
        <v>131838609</v>
      </c>
      <c r="C9" s="111">
        <v>19925622</v>
      </c>
      <c r="D9" s="117">
        <f t="shared" si="0"/>
        <v>151764231</v>
      </c>
    </row>
    <row r="10" spans="1:4">
      <c r="A10" s="116" t="s">
        <v>11</v>
      </c>
      <c r="B10" s="42">
        <v>544152988</v>
      </c>
      <c r="C10" s="111">
        <v>53238738</v>
      </c>
      <c r="D10" s="117">
        <f t="shared" si="0"/>
        <v>597391726</v>
      </c>
    </row>
    <row r="11" spans="1:4">
      <c r="A11" s="116" t="s">
        <v>12</v>
      </c>
      <c r="B11" s="42">
        <v>440675327</v>
      </c>
      <c r="C11" s="111">
        <v>110410500</v>
      </c>
      <c r="D11" s="117">
        <f t="shared" si="0"/>
        <v>551085827</v>
      </c>
    </row>
    <row r="12" spans="1:4">
      <c r="A12" s="116" t="s">
        <v>14</v>
      </c>
      <c r="B12" s="42">
        <v>11718467</v>
      </c>
      <c r="C12" s="111">
        <v>1551635</v>
      </c>
      <c r="D12" s="117">
        <f t="shared" si="0"/>
        <v>13270102</v>
      </c>
    </row>
    <row r="13" spans="1:4">
      <c r="A13" s="116" t="s">
        <v>132</v>
      </c>
      <c r="B13" s="42">
        <v>0</v>
      </c>
      <c r="C13" s="111">
        <v>0</v>
      </c>
      <c r="D13" s="117">
        <f t="shared" si="0"/>
        <v>0</v>
      </c>
    </row>
    <row r="14" spans="1:4">
      <c r="A14" s="116" t="s">
        <v>15</v>
      </c>
      <c r="B14" s="42">
        <v>27808104</v>
      </c>
      <c r="C14" s="111">
        <v>4038502</v>
      </c>
      <c r="D14" s="117">
        <f t="shared" si="0"/>
        <v>31846606</v>
      </c>
    </row>
    <row r="15" spans="1:4">
      <c r="A15" s="116" t="s">
        <v>16</v>
      </c>
      <c r="B15" s="42">
        <v>124754863</v>
      </c>
      <c r="C15" s="111">
        <v>17119300</v>
      </c>
      <c r="D15" s="117">
        <f t="shared" si="0"/>
        <v>141874163</v>
      </c>
    </row>
    <row r="16" spans="1:4">
      <c r="A16" s="116" t="s">
        <v>17</v>
      </c>
      <c r="B16" s="42">
        <v>2000</v>
      </c>
      <c r="C16" s="111">
        <v>0</v>
      </c>
      <c r="D16" s="117">
        <f t="shared" si="0"/>
        <v>2000</v>
      </c>
    </row>
    <row r="17" spans="1:4">
      <c r="A17" s="116" t="s">
        <v>21</v>
      </c>
      <c r="B17" s="42">
        <v>1905869</v>
      </c>
      <c r="C17" s="111">
        <v>189600</v>
      </c>
      <c r="D17" s="117">
        <f t="shared" si="0"/>
        <v>2095469</v>
      </c>
    </row>
    <row r="18" spans="1:4">
      <c r="A18" s="116" t="s">
        <v>22</v>
      </c>
      <c r="B18" s="42">
        <v>3807000</v>
      </c>
      <c r="C18" s="111">
        <v>0</v>
      </c>
      <c r="D18" s="117">
        <f t="shared" si="0"/>
        <v>3807000</v>
      </c>
    </row>
    <row r="19" spans="1:4">
      <c r="A19" s="116" t="s">
        <v>23</v>
      </c>
      <c r="B19" s="42">
        <v>1298076</v>
      </c>
      <c r="C19" s="111">
        <v>0</v>
      </c>
      <c r="D19" s="117">
        <f t="shared" si="0"/>
        <v>1298076</v>
      </c>
    </row>
    <row r="20" spans="1:4">
      <c r="A20" s="116" t="s">
        <v>168</v>
      </c>
      <c r="B20" s="42">
        <v>1777736</v>
      </c>
      <c r="C20" s="111">
        <v>0</v>
      </c>
      <c r="D20" s="117">
        <f t="shared" si="0"/>
        <v>1777736</v>
      </c>
    </row>
    <row r="21" spans="1:4">
      <c r="A21" s="116" t="s">
        <v>24</v>
      </c>
      <c r="B21" s="35">
        <v>6696166</v>
      </c>
      <c r="C21" s="111">
        <v>0</v>
      </c>
      <c r="D21" s="117">
        <f t="shared" si="0"/>
        <v>6696166</v>
      </c>
    </row>
    <row r="22" spans="1:4">
      <c r="A22" s="16" t="s">
        <v>41</v>
      </c>
      <c r="B22" s="26">
        <f>SUM(B6:B21)</f>
        <v>1359311651.7</v>
      </c>
      <c r="C22" s="112">
        <f>SUM(C6:C21)</f>
        <v>215823068.03</v>
      </c>
      <c r="D22" s="118">
        <f>B22+C22</f>
        <v>1575134719.73</v>
      </c>
    </row>
    <row r="23" spans="1:4" s="3" customFormat="1">
      <c r="A23" s="4"/>
      <c r="B23" s="9"/>
      <c r="C23" s="9"/>
      <c r="D23" s="119"/>
    </row>
    <row r="24" spans="1:4" s="3" customFormat="1">
      <c r="A24" s="14" t="s">
        <v>42</v>
      </c>
      <c r="B24" s="9"/>
      <c r="C24" s="9"/>
      <c r="D24" s="119"/>
    </row>
    <row r="25" spans="1:4" s="3" customFormat="1">
      <c r="A25" s="120" t="s">
        <v>18</v>
      </c>
      <c r="B25" s="42">
        <v>0</v>
      </c>
      <c r="C25" s="111">
        <v>0</v>
      </c>
      <c r="D25" s="119">
        <f>B25+C25</f>
        <v>0</v>
      </c>
    </row>
    <row r="26" spans="1:4" s="3" customFormat="1">
      <c r="A26" s="121" t="s">
        <v>26</v>
      </c>
      <c r="B26" s="42">
        <v>102000</v>
      </c>
      <c r="C26" s="111">
        <v>0</v>
      </c>
      <c r="D26" s="122">
        <f t="shared" ref="D26:D35" si="1">B26+C26</f>
        <v>102000</v>
      </c>
    </row>
    <row r="27" spans="1:4" s="3" customFormat="1">
      <c r="A27" s="121" t="s">
        <v>27</v>
      </c>
      <c r="B27" s="42">
        <v>430000</v>
      </c>
      <c r="C27" s="111">
        <v>0</v>
      </c>
      <c r="D27" s="122">
        <f t="shared" si="1"/>
        <v>430000</v>
      </c>
    </row>
    <row r="28" spans="1:4" s="3" customFormat="1">
      <c r="A28" s="121" t="s">
        <v>28</v>
      </c>
      <c r="B28" s="42">
        <v>627000</v>
      </c>
      <c r="C28" s="111">
        <v>108000</v>
      </c>
      <c r="D28" s="122">
        <f t="shared" si="1"/>
        <v>735000</v>
      </c>
    </row>
    <row r="29" spans="1:4" s="3" customFormat="1">
      <c r="A29" s="121" t="s">
        <v>29</v>
      </c>
      <c r="B29" s="42">
        <v>485892</v>
      </c>
      <c r="C29" s="111">
        <v>0</v>
      </c>
      <c r="D29" s="122">
        <f t="shared" si="1"/>
        <v>485892</v>
      </c>
    </row>
    <row r="30" spans="1:4" s="3" customFormat="1">
      <c r="A30" s="121" t="s">
        <v>30</v>
      </c>
      <c r="B30" s="42">
        <v>94047</v>
      </c>
      <c r="C30" s="111">
        <v>0</v>
      </c>
      <c r="D30" s="122">
        <f t="shared" si="1"/>
        <v>94047</v>
      </c>
    </row>
    <row r="31" spans="1:4" s="3" customFormat="1">
      <c r="A31" s="121" t="s">
        <v>31</v>
      </c>
      <c r="B31" s="42">
        <v>188000</v>
      </c>
      <c r="C31" s="111">
        <v>0</v>
      </c>
      <c r="D31" s="122">
        <f t="shared" si="1"/>
        <v>188000</v>
      </c>
    </row>
    <row r="32" spans="1:4" s="3" customFormat="1">
      <c r="A32" s="121" t="s">
        <v>32</v>
      </c>
      <c r="B32" s="42">
        <v>464878</v>
      </c>
      <c r="C32" s="111">
        <v>0</v>
      </c>
      <c r="D32" s="122">
        <f t="shared" si="1"/>
        <v>464878</v>
      </c>
    </row>
    <row r="33" spans="1:4" s="3" customFormat="1">
      <c r="A33" s="121" t="s">
        <v>33</v>
      </c>
      <c r="B33" s="42">
        <v>559880</v>
      </c>
      <c r="C33" s="111">
        <v>0</v>
      </c>
      <c r="D33" s="122">
        <f t="shared" si="1"/>
        <v>559880</v>
      </c>
    </row>
    <row r="34" spans="1:4" s="3" customFormat="1">
      <c r="A34" s="121" t="s">
        <v>34</v>
      </c>
      <c r="B34" s="42">
        <v>1725000</v>
      </c>
      <c r="C34" s="111">
        <v>220000</v>
      </c>
      <c r="D34" s="122">
        <f t="shared" si="1"/>
        <v>1945000</v>
      </c>
    </row>
    <row r="35" spans="1:4" s="3" customFormat="1">
      <c r="A35" s="121" t="s">
        <v>35</v>
      </c>
      <c r="B35" s="42">
        <v>25000</v>
      </c>
      <c r="C35" s="111">
        <v>0</v>
      </c>
      <c r="D35" s="122">
        <f t="shared" si="1"/>
        <v>25000</v>
      </c>
    </row>
    <row r="36" spans="1:4" s="3" customFormat="1">
      <c r="A36" s="16" t="s">
        <v>43</v>
      </c>
      <c r="B36" s="11">
        <f>SUM(B25:B35)</f>
        <v>4701697</v>
      </c>
      <c r="C36" s="11">
        <f>SUM(C25:C35)</f>
        <v>328000</v>
      </c>
      <c r="D36" s="102">
        <f>SUM(D25:D35)</f>
        <v>5029697</v>
      </c>
    </row>
    <row r="37" spans="1:4" s="3" customFormat="1">
      <c r="A37" s="4"/>
      <c r="B37" s="9"/>
      <c r="C37" s="9"/>
      <c r="D37" s="119"/>
    </row>
    <row r="38" spans="1:4" s="3" customFormat="1">
      <c r="A38" s="17" t="s">
        <v>36</v>
      </c>
      <c r="B38" s="12">
        <f>B22+B36</f>
        <v>1364013348.7</v>
      </c>
      <c r="C38" s="12">
        <f>C22+C36</f>
        <v>216151068.03</v>
      </c>
      <c r="D38" s="103">
        <f>D22+D36</f>
        <v>1580164416.73</v>
      </c>
    </row>
    <row r="39" spans="1:4" s="3" customFormat="1">
      <c r="A39" s="4"/>
      <c r="B39" s="9"/>
      <c r="C39" s="9"/>
      <c r="D39" s="119"/>
    </row>
    <row r="40" spans="1:4" s="3" customFormat="1">
      <c r="A40" s="4"/>
      <c r="B40" s="9"/>
      <c r="C40" s="9"/>
      <c r="D40" s="119"/>
    </row>
    <row r="41" spans="1:4">
      <c r="A41" s="14" t="s">
        <v>44</v>
      </c>
      <c r="B41" s="22"/>
      <c r="C41" s="22"/>
      <c r="D41" s="96"/>
    </row>
    <row r="42" spans="1:4">
      <c r="A42" s="133" t="s">
        <v>45</v>
      </c>
      <c r="B42" s="42">
        <v>56198432</v>
      </c>
      <c r="C42" s="111">
        <v>10365910</v>
      </c>
      <c r="D42" s="117">
        <f t="shared" ref="D42:D77" si="2">B42+C42</f>
        <v>66564342</v>
      </c>
    </row>
    <row r="43" spans="1:4">
      <c r="A43" s="116" t="s">
        <v>46</v>
      </c>
      <c r="B43" s="42">
        <v>4010000</v>
      </c>
      <c r="C43" s="111">
        <v>650000</v>
      </c>
      <c r="D43" s="117">
        <f t="shared" si="2"/>
        <v>4660000</v>
      </c>
    </row>
    <row r="44" spans="1:4">
      <c r="A44" s="116" t="s">
        <v>47</v>
      </c>
      <c r="B44" s="42">
        <v>3306725</v>
      </c>
      <c r="C44" s="111">
        <v>427870</v>
      </c>
      <c r="D44" s="117">
        <f t="shared" si="2"/>
        <v>3734595</v>
      </c>
    </row>
    <row r="45" spans="1:4">
      <c r="A45" s="116" t="s">
        <v>48</v>
      </c>
      <c r="B45" s="42">
        <v>23743000</v>
      </c>
      <c r="C45" s="111">
        <v>4070000</v>
      </c>
      <c r="D45" s="117">
        <f t="shared" si="2"/>
        <v>27813000</v>
      </c>
    </row>
    <row r="46" spans="1:4">
      <c r="A46" s="116" t="s">
        <v>49</v>
      </c>
      <c r="B46" s="42">
        <v>2896000</v>
      </c>
      <c r="C46" s="111">
        <v>490000</v>
      </c>
      <c r="D46" s="117">
        <f t="shared" si="2"/>
        <v>3386000</v>
      </c>
    </row>
    <row r="47" spans="1:4">
      <c r="A47" s="116" t="s">
        <v>50</v>
      </c>
      <c r="B47" s="42">
        <v>3201040</v>
      </c>
      <c r="C47" s="111">
        <v>218860</v>
      </c>
      <c r="D47" s="117">
        <f t="shared" si="2"/>
        <v>3419900</v>
      </c>
    </row>
    <row r="48" spans="1:4">
      <c r="A48" s="116" t="s">
        <v>51</v>
      </c>
      <c r="B48" s="42">
        <v>54146000</v>
      </c>
      <c r="C48" s="111">
        <v>9140000</v>
      </c>
      <c r="D48" s="117">
        <f t="shared" si="2"/>
        <v>63286000</v>
      </c>
    </row>
    <row r="49" spans="1:4">
      <c r="A49" s="116" t="s">
        <v>52</v>
      </c>
      <c r="B49" s="42">
        <v>628000</v>
      </c>
      <c r="C49" s="111">
        <v>100000</v>
      </c>
      <c r="D49" s="117">
        <f t="shared" si="2"/>
        <v>728000</v>
      </c>
    </row>
    <row r="50" spans="1:4">
      <c r="A50" s="116" t="s">
        <v>53</v>
      </c>
      <c r="B50" s="42">
        <v>11879900</v>
      </c>
      <c r="C50" s="111">
        <v>413000</v>
      </c>
      <c r="D50" s="117">
        <f t="shared" si="2"/>
        <v>12292900</v>
      </c>
    </row>
    <row r="51" spans="1:4">
      <c r="A51" s="116" t="s">
        <v>54</v>
      </c>
      <c r="B51" s="42">
        <v>2000000</v>
      </c>
      <c r="C51" s="111">
        <v>0</v>
      </c>
      <c r="D51" s="117">
        <f t="shared" si="2"/>
        <v>2000000</v>
      </c>
    </row>
    <row r="52" spans="1:4">
      <c r="A52" s="116" t="s">
        <v>55</v>
      </c>
      <c r="B52" s="42">
        <v>18200000</v>
      </c>
      <c r="C52" s="111">
        <v>3055000</v>
      </c>
      <c r="D52" s="117">
        <f t="shared" si="2"/>
        <v>21255000</v>
      </c>
    </row>
    <row r="53" spans="1:4">
      <c r="A53" s="116" t="s">
        <v>56</v>
      </c>
      <c r="B53" s="42">
        <v>3270200</v>
      </c>
      <c r="C53" s="111">
        <v>0</v>
      </c>
      <c r="D53" s="117">
        <f t="shared" si="2"/>
        <v>3270200</v>
      </c>
    </row>
    <row r="54" spans="1:4">
      <c r="A54" s="116" t="s">
        <v>58</v>
      </c>
      <c r="B54" s="42">
        <v>5000000</v>
      </c>
      <c r="C54" s="111">
        <v>0</v>
      </c>
      <c r="D54" s="117">
        <f t="shared" si="2"/>
        <v>5000000</v>
      </c>
    </row>
    <row r="55" spans="1:4">
      <c r="A55" s="116" t="s">
        <v>59</v>
      </c>
      <c r="B55" s="42">
        <v>22066000</v>
      </c>
      <c r="C55" s="111">
        <v>3000000</v>
      </c>
      <c r="D55" s="117">
        <f t="shared" si="2"/>
        <v>25066000</v>
      </c>
    </row>
    <row r="56" spans="1:4">
      <c r="A56" s="116" t="s">
        <v>120</v>
      </c>
      <c r="B56" s="42">
        <v>16985375</v>
      </c>
      <c r="C56" s="111">
        <v>1567475</v>
      </c>
      <c r="D56" s="117">
        <f t="shared" si="2"/>
        <v>18552850</v>
      </c>
    </row>
    <row r="57" spans="1:4">
      <c r="A57" s="116" t="s">
        <v>61</v>
      </c>
      <c r="B57" s="42">
        <v>46989150</v>
      </c>
      <c r="C57" s="111">
        <v>8320200</v>
      </c>
      <c r="D57" s="117">
        <f t="shared" si="2"/>
        <v>55309350</v>
      </c>
    </row>
    <row r="58" spans="1:4">
      <c r="A58" s="116" t="s">
        <v>60</v>
      </c>
      <c r="B58" s="42">
        <v>1601050</v>
      </c>
      <c r="C58" s="111">
        <v>500000</v>
      </c>
      <c r="D58" s="117">
        <f t="shared" si="2"/>
        <v>2101050</v>
      </c>
    </row>
    <row r="59" spans="1:4">
      <c r="A59" s="116" t="s">
        <v>62</v>
      </c>
      <c r="B59" s="42">
        <v>0</v>
      </c>
      <c r="C59" s="111">
        <v>0</v>
      </c>
      <c r="D59" s="117">
        <f t="shared" si="2"/>
        <v>0</v>
      </c>
    </row>
    <row r="60" spans="1:4">
      <c r="A60" s="116" t="s">
        <v>63</v>
      </c>
      <c r="B60" s="42">
        <v>1820800</v>
      </c>
      <c r="C60" s="111">
        <v>1390500</v>
      </c>
      <c r="D60" s="117">
        <f t="shared" si="2"/>
        <v>3211300</v>
      </c>
    </row>
    <row r="61" spans="1:4">
      <c r="A61" s="116" t="s">
        <v>64</v>
      </c>
      <c r="B61" s="42">
        <v>1155000</v>
      </c>
      <c r="C61" s="111">
        <v>350000</v>
      </c>
      <c r="D61" s="117">
        <f t="shared" si="2"/>
        <v>1505000</v>
      </c>
    </row>
    <row r="62" spans="1:4">
      <c r="A62" s="116" t="s">
        <v>65</v>
      </c>
      <c r="B62" s="42">
        <v>10845200</v>
      </c>
      <c r="C62" s="111">
        <v>5466700</v>
      </c>
      <c r="D62" s="117">
        <f t="shared" si="2"/>
        <v>16311900</v>
      </c>
    </row>
    <row r="63" spans="1:4">
      <c r="A63" s="116" t="s">
        <v>66</v>
      </c>
      <c r="B63" s="42">
        <v>4294720</v>
      </c>
      <c r="C63" s="111">
        <v>1512088</v>
      </c>
      <c r="D63" s="117">
        <f t="shared" si="2"/>
        <v>5806808</v>
      </c>
    </row>
    <row r="64" spans="1:4">
      <c r="A64" s="116" t="s">
        <v>67</v>
      </c>
      <c r="B64" s="42">
        <v>34377000</v>
      </c>
      <c r="C64" s="111">
        <v>320000</v>
      </c>
      <c r="D64" s="117">
        <f t="shared" si="2"/>
        <v>34697000</v>
      </c>
    </row>
    <row r="65" spans="1:4">
      <c r="A65" s="116" t="s">
        <v>68</v>
      </c>
      <c r="B65" s="42">
        <v>3710000</v>
      </c>
      <c r="C65" s="111">
        <v>7950000</v>
      </c>
      <c r="D65" s="117">
        <f t="shared" si="2"/>
        <v>11660000</v>
      </c>
    </row>
    <row r="66" spans="1:4">
      <c r="A66" s="116" t="s">
        <v>69</v>
      </c>
      <c r="B66" s="42">
        <v>40615980</v>
      </c>
      <c r="C66" s="111">
        <v>429900</v>
      </c>
      <c r="D66" s="117">
        <f t="shared" si="2"/>
        <v>41045880</v>
      </c>
    </row>
    <row r="67" spans="1:4">
      <c r="A67" s="116" t="s">
        <v>71</v>
      </c>
      <c r="B67" s="42">
        <v>16830950</v>
      </c>
      <c r="C67" s="111">
        <v>1230900</v>
      </c>
      <c r="D67" s="117">
        <f t="shared" si="2"/>
        <v>18061850</v>
      </c>
    </row>
    <row r="68" spans="1:4">
      <c r="A68" s="116" t="s">
        <v>72</v>
      </c>
      <c r="B68" s="42">
        <v>11492000</v>
      </c>
      <c r="C68" s="111">
        <v>4295970</v>
      </c>
      <c r="D68" s="117">
        <f t="shared" si="2"/>
        <v>15787970</v>
      </c>
    </row>
    <row r="69" spans="1:4">
      <c r="A69" s="116" t="s">
        <v>73</v>
      </c>
      <c r="B69" s="42">
        <v>39701155</v>
      </c>
      <c r="C69" s="111">
        <v>3430000</v>
      </c>
      <c r="D69" s="117">
        <f t="shared" si="2"/>
        <v>43131155</v>
      </c>
    </row>
    <row r="70" spans="1:4">
      <c r="A70" s="116" t="s">
        <v>74</v>
      </c>
      <c r="B70" s="42">
        <v>15893500</v>
      </c>
      <c r="C70" s="111">
        <v>1392900</v>
      </c>
      <c r="D70" s="117">
        <f t="shared" si="2"/>
        <v>17286400</v>
      </c>
    </row>
    <row r="71" spans="1:4">
      <c r="A71" s="116" t="s">
        <v>75</v>
      </c>
      <c r="B71" s="42">
        <v>0</v>
      </c>
      <c r="C71" s="111">
        <v>0</v>
      </c>
      <c r="D71" s="117">
        <f t="shared" si="2"/>
        <v>0</v>
      </c>
    </row>
    <row r="72" spans="1:4">
      <c r="A72" s="116" t="s">
        <v>76</v>
      </c>
      <c r="B72" s="42">
        <v>12507634</v>
      </c>
      <c r="C72" s="111">
        <v>365000</v>
      </c>
      <c r="D72" s="117">
        <f t="shared" si="2"/>
        <v>12872634</v>
      </c>
    </row>
    <row r="73" spans="1:4">
      <c r="A73" s="116" t="s">
        <v>77</v>
      </c>
      <c r="B73" s="42">
        <v>187732010</v>
      </c>
      <c r="C73" s="111">
        <v>21534319</v>
      </c>
      <c r="D73" s="117">
        <f t="shared" si="2"/>
        <v>209266329</v>
      </c>
    </row>
    <row r="74" spans="1:4">
      <c r="A74" s="116" t="s">
        <v>78</v>
      </c>
      <c r="B74" s="42">
        <v>2181900</v>
      </c>
      <c r="C74" s="111">
        <v>384000</v>
      </c>
      <c r="D74" s="117">
        <f t="shared" si="2"/>
        <v>2565900</v>
      </c>
    </row>
    <row r="75" spans="1:4">
      <c r="A75" s="116" t="s">
        <v>79</v>
      </c>
      <c r="B75" s="42">
        <v>13089950</v>
      </c>
      <c r="C75" s="111">
        <v>177000</v>
      </c>
      <c r="D75" s="117">
        <f t="shared" si="2"/>
        <v>13266950</v>
      </c>
    </row>
    <row r="76" spans="1:4">
      <c r="A76" s="116" t="s">
        <v>80</v>
      </c>
      <c r="B76" s="42">
        <v>11134700</v>
      </c>
      <c r="C76" s="111">
        <v>749000</v>
      </c>
      <c r="D76" s="117">
        <f t="shared" si="2"/>
        <v>11883700</v>
      </c>
    </row>
    <row r="77" spans="1:4">
      <c r="A77" s="116" t="s">
        <v>119</v>
      </c>
      <c r="B77" s="42">
        <v>118240000</v>
      </c>
      <c r="C77" s="111">
        <v>20000000</v>
      </c>
      <c r="D77" s="117">
        <f t="shared" si="2"/>
        <v>138240000</v>
      </c>
    </row>
    <row r="78" spans="1:4" ht="16.3" thickBot="1">
      <c r="A78" s="27" t="s">
        <v>81</v>
      </c>
      <c r="B78" s="114">
        <f>SUM(B42:B77)</f>
        <v>801743371</v>
      </c>
      <c r="C78" s="114">
        <f>SUM(C42:C77)</f>
        <v>113296592</v>
      </c>
      <c r="D78" s="123">
        <f>B78+C78</f>
        <v>915039963</v>
      </c>
    </row>
    <row r="79" spans="1:4" s="3" customFormat="1" ht="16.3" thickTop="1">
      <c r="A79" s="6"/>
      <c r="B79" s="9"/>
      <c r="C79" s="161"/>
      <c r="D79" s="119"/>
    </row>
    <row r="80" spans="1:4" ht="16.3" thickBot="1">
      <c r="A80" s="124" t="s">
        <v>82</v>
      </c>
      <c r="B80" s="160">
        <f>(ROUND(B6+B38-B78, 5))</f>
        <v>623746384.39999998</v>
      </c>
      <c r="C80" s="162">
        <f>C38-C78</f>
        <v>102854476.03</v>
      </c>
      <c r="D80" s="115">
        <f>(ROUND((D6+D38)-D78, 5))</f>
        <v>735950031.46000004</v>
      </c>
    </row>
    <row r="81" spans="1:4" ht="16.3" thickTop="1">
      <c r="A81" s="126"/>
      <c r="D81" s="127"/>
    </row>
    <row r="82" spans="1:4">
      <c r="A82" s="14" t="s">
        <v>104</v>
      </c>
      <c r="B82" s="24"/>
      <c r="C82" s="24"/>
      <c r="D82" s="96"/>
    </row>
    <row r="83" spans="1:4">
      <c r="A83" s="21" t="s">
        <v>37</v>
      </c>
      <c r="B83" s="42">
        <v>-515014000</v>
      </c>
      <c r="C83" s="182">
        <v>-93052000</v>
      </c>
      <c r="D83" s="96">
        <f>B83+C83</f>
        <v>-608066000</v>
      </c>
    </row>
    <row r="84" spans="1:4">
      <c r="A84" s="21" t="s">
        <v>87</v>
      </c>
      <c r="B84" s="42">
        <v>-6196600</v>
      </c>
      <c r="C84" s="42"/>
      <c r="D84" s="96">
        <f>B84+C84</f>
        <v>-6196600</v>
      </c>
    </row>
    <row r="85" spans="1:4">
      <c r="A85" s="36" t="s">
        <v>88</v>
      </c>
      <c r="B85" s="42">
        <v>-3204600</v>
      </c>
      <c r="C85" s="42">
        <v>-2900000</v>
      </c>
      <c r="D85" s="96">
        <f>B85+C85</f>
        <v>-6104600</v>
      </c>
    </row>
    <row r="86" spans="1:4">
      <c r="A86" s="36" t="s">
        <v>38</v>
      </c>
      <c r="B86" s="42">
        <v>0</v>
      </c>
      <c r="C86" s="42"/>
      <c r="D86" s="96">
        <f>B86+C86</f>
        <v>0</v>
      </c>
    </row>
    <row r="87" spans="1:4">
      <c r="A87" s="128" t="s">
        <v>121</v>
      </c>
      <c r="B87" s="42"/>
      <c r="C87" s="42"/>
      <c r="D87" s="96">
        <f t="shared" ref="D87:D89" si="3">B87+C87</f>
        <v>0</v>
      </c>
    </row>
    <row r="88" spans="1:4">
      <c r="A88" s="128" t="s">
        <v>167</v>
      </c>
      <c r="B88" s="42">
        <v>55802.64</v>
      </c>
      <c r="C88" s="42">
        <v>10734.8</v>
      </c>
      <c r="D88" s="96">
        <f t="shared" si="3"/>
        <v>66537.440000000002</v>
      </c>
    </row>
    <row r="89" spans="1:4">
      <c r="A89" s="128" t="s">
        <v>165</v>
      </c>
      <c r="B89" s="42">
        <v>-55305</v>
      </c>
      <c r="C89" s="42"/>
      <c r="D89" s="96">
        <f t="shared" si="3"/>
        <v>-55305</v>
      </c>
    </row>
    <row r="90" spans="1:4">
      <c r="A90" s="128" t="s">
        <v>166</v>
      </c>
      <c r="B90" s="42">
        <v>107334.60999999999</v>
      </c>
      <c r="C90" s="43">
        <v>20064.400000000001</v>
      </c>
      <c r="D90" s="129">
        <f>B90+C90</f>
        <v>127399.00999999998</v>
      </c>
    </row>
    <row r="91" spans="1:4">
      <c r="A91" s="36"/>
      <c r="B91" s="165"/>
      <c r="C91" s="24"/>
      <c r="D91" s="96"/>
    </row>
    <row r="92" spans="1:4">
      <c r="A92" s="32" t="s">
        <v>105</v>
      </c>
      <c r="B92" s="35">
        <f>B83+B85+B86+B91+B84+B90</f>
        <v>-524307865.38999999</v>
      </c>
      <c r="C92" s="35">
        <f>C83+C85+C86+C91+C84+C87+C88+C90+C89</f>
        <v>-95921200.799999997</v>
      </c>
      <c r="D92" s="97">
        <f>B92+C92</f>
        <v>-620229066.18999994</v>
      </c>
    </row>
    <row r="93" spans="1:4">
      <c r="A93" s="21"/>
      <c r="B93" s="24"/>
      <c r="C93" s="24"/>
      <c r="D93" s="96"/>
    </row>
    <row r="94" spans="1:4">
      <c r="A94" s="21"/>
      <c r="B94" s="24"/>
      <c r="C94" s="24"/>
      <c r="D94" s="96"/>
    </row>
    <row r="95" spans="1:4" ht="16.3" thickBot="1">
      <c r="A95" s="38" t="s">
        <v>106</v>
      </c>
      <c r="B95" s="40">
        <f>B80+B92</f>
        <v>99438519.00999999</v>
      </c>
      <c r="C95" s="40">
        <f>C80+C92</f>
        <v>6933275.2300000042</v>
      </c>
      <c r="D95" s="108">
        <f>D80+D92</f>
        <v>115720965.2700001</v>
      </c>
    </row>
    <row r="96" spans="1:4" ht="16.75" thickTop="1" thickBot="1">
      <c r="A96" s="7"/>
      <c r="B96" s="98"/>
      <c r="C96" s="98"/>
      <c r="D96" s="44"/>
    </row>
    <row r="97" spans="1:4">
      <c r="A97" s="130"/>
      <c r="B97" s="131"/>
      <c r="C97" s="131"/>
      <c r="D97" s="131"/>
    </row>
    <row r="98" spans="1:4">
      <c r="D98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88BA-87B9-4D3F-AD4C-F7EAF46CE219}">
  <sheetPr>
    <pageSetUpPr fitToPage="1"/>
  </sheetPr>
  <dimension ref="A1:D100"/>
  <sheetViews>
    <sheetView topLeftCell="A18" workbookViewId="0">
      <selection activeCell="B32" sqref="B32"/>
    </sheetView>
  </sheetViews>
  <sheetFormatPr defaultColWidth="9.3046875" defaultRowHeight="15.9"/>
  <cols>
    <col min="1" max="1" width="38" style="20" customWidth="1"/>
    <col min="2" max="3" width="21.69140625" style="20" customWidth="1"/>
    <col min="4" max="4" width="20.3046875" style="23" customWidth="1"/>
    <col min="5" max="16384" width="9.30468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45930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115</v>
      </c>
      <c r="D5" s="99" t="s">
        <v>130</v>
      </c>
    </row>
    <row r="6" spans="1:4">
      <c r="A6" s="116" t="s">
        <v>39</v>
      </c>
      <c r="B6" s="117">
        <v>70825577.729999989</v>
      </c>
      <c r="C6" s="10">
        <v>6902476.0099999998</v>
      </c>
      <c r="D6" s="117">
        <f>B6+C6</f>
        <v>77728053.739999995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2">
        <v>1400040</v>
      </c>
      <c r="C8" s="111">
        <v>293770</v>
      </c>
      <c r="D8" s="117">
        <f t="shared" ref="D8:D22" si="0">B8+C8</f>
        <v>1693810</v>
      </c>
    </row>
    <row r="9" spans="1:4">
      <c r="A9" s="116" t="s">
        <v>10</v>
      </c>
      <c r="B9" s="42">
        <v>151764231</v>
      </c>
      <c r="C9" s="111">
        <v>17200306</v>
      </c>
      <c r="D9" s="117">
        <f t="shared" si="0"/>
        <v>168964537</v>
      </c>
    </row>
    <row r="10" spans="1:4">
      <c r="A10" s="116" t="s">
        <v>11</v>
      </c>
      <c r="B10" s="42">
        <v>597391726</v>
      </c>
      <c r="C10" s="111">
        <v>221034851</v>
      </c>
      <c r="D10" s="117">
        <f t="shared" si="0"/>
        <v>818426577</v>
      </c>
    </row>
    <row r="11" spans="1:4">
      <c r="A11" s="116" t="s">
        <v>12</v>
      </c>
      <c r="B11" s="42">
        <v>551085827</v>
      </c>
      <c r="C11" s="111">
        <v>93834040</v>
      </c>
      <c r="D11" s="117">
        <f t="shared" si="0"/>
        <v>644919867</v>
      </c>
    </row>
    <row r="12" spans="1:4">
      <c r="A12" s="116" t="s">
        <v>14</v>
      </c>
      <c r="B12" s="42">
        <v>13270102</v>
      </c>
      <c r="C12" s="111">
        <v>1697973</v>
      </c>
      <c r="D12" s="117">
        <f t="shared" si="0"/>
        <v>14968075</v>
      </c>
    </row>
    <row r="13" spans="1:4">
      <c r="A13" s="116" t="s">
        <v>132</v>
      </c>
      <c r="B13" s="42">
        <v>0</v>
      </c>
      <c r="C13" s="111">
        <v>0</v>
      </c>
      <c r="D13" s="117">
        <f t="shared" si="0"/>
        <v>0</v>
      </c>
    </row>
    <row r="14" spans="1:4">
      <c r="A14" s="116" t="s">
        <v>15</v>
      </c>
      <c r="B14" s="42">
        <v>31846606</v>
      </c>
      <c r="C14" s="111">
        <v>3190775</v>
      </c>
      <c r="D14" s="117">
        <f t="shared" si="0"/>
        <v>35037381</v>
      </c>
    </row>
    <row r="15" spans="1:4">
      <c r="A15" s="116" t="s">
        <v>16</v>
      </c>
      <c r="B15" s="42">
        <v>141874163</v>
      </c>
      <c r="C15" s="111">
        <v>16420873</v>
      </c>
      <c r="D15" s="117">
        <f t="shared" si="0"/>
        <v>158295036</v>
      </c>
    </row>
    <row r="16" spans="1:4">
      <c r="A16" s="116" t="s">
        <v>17</v>
      </c>
      <c r="B16" s="42">
        <v>2000</v>
      </c>
      <c r="C16" s="111">
        <v>0</v>
      </c>
      <c r="D16" s="117">
        <f t="shared" si="0"/>
        <v>2000</v>
      </c>
    </row>
    <row r="17" spans="1:4">
      <c r="A17" s="116" t="s">
        <v>21</v>
      </c>
      <c r="B17" s="42">
        <v>2095469</v>
      </c>
      <c r="C17" s="111">
        <v>165968</v>
      </c>
      <c r="D17" s="117">
        <f t="shared" si="0"/>
        <v>2261437</v>
      </c>
    </row>
    <row r="18" spans="1:4">
      <c r="A18" s="116" t="s">
        <v>22</v>
      </c>
      <c r="B18" s="42">
        <v>3807000</v>
      </c>
      <c r="C18" s="111">
        <v>501000</v>
      </c>
      <c r="D18" s="117">
        <f t="shared" si="0"/>
        <v>4308000</v>
      </c>
    </row>
    <row r="19" spans="1:4">
      <c r="A19" s="116" t="s">
        <v>23</v>
      </c>
      <c r="B19" s="42">
        <v>1298076</v>
      </c>
      <c r="C19" s="111">
        <v>103000</v>
      </c>
      <c r="D19" s="117">
        <f t="shared" si="0"/>
        <v>1401076</v>
      </c>
    </row>
    <row r="20" spans="1:4">
      <c r="A20" s="116" t="s">
        <v>164</v>
      </c>
      <c r="B20" s="42">
        <v>1777736</v>
      </c>
      <c r="C20" s="111">
        <v>0</v>
      </c>
      <c r="D20" s="117"/>
    </row>
    <row r="21" spans="1:4">
      <c r="A21" s="116" t="s">
        <v>169</v>
      </c>
      <c r="B21" s="42">
        <v>6696166</v>
      </c>
      <c r="C21" s="111">
        <v>383600</v>
      </c>
      <c r="D21" s="117">
        <f t="shared" si="0"/>
        <v>7079766</v>
      </c>
    </row>
    <row r="22" spans="1:4">
      <c r="A22" s="16" t="s">
        <v>41</v>
      </c>
      <c r="B22" s="26">
        <f>SUM(B6:B21)</f>
        <v>1575134719.73</v>
      </c>
      <c r="C22" s="112">
        <f>SUM(C6:C21)</f>
        <v>361728632.00999999</v>
      </c>
      <c r="D22" s="118">
        <f t="shared" si="0"/>
        <v>1936863351.74</v>
      </c>
    </row>
    <row r="23" spans="1:4" s="3" customFormat="1">
      <c r="A23" s="4"/>
      <c r="B23" s="9"/>
      <c r="C23" s="9"/>
      <c r="D23" s="119"/>
    </row>
    <row r="24" spans="1:4" s="3" customFormat="1">
      <c r="A24" s="14" t="s">
        <v>42</v>
      </c>
      <c r="B24" s="9"/>
      <c r="C24" s="9"/>
      <c r="D24" s="119"/>
    </row>
    <row r="25" spans="1:4" s="3" customFormat="1">
      <c r="A25" s="120" t="s">
        <v>18</v>
      </c>
      <c r="B25" s="113">
        <v>0</v>
      </c>
      <c r="C25" s="111">
        <v>0</v>
      </c>
      <c r="D25" s="119">
        <f t="shared" ref="D25:D35" si="1">B25+C25</f>
        <v>0</v>
      </c>
    </row>
    <row r="26" spans="1:4" s="3" customFormat="1">
      <c r="A26" s="121" t="s">
        <v>26</v>
      </c>
      <c r="B26" s="113">
        <v>102000</v>
      </c>
      <c r="C26" s="111">
        <v>0</v>
      </c>
      <c r="D26" s="122">
        <f t="shared" si="1"/>
        <v>102000</v>
      </c>
    </row>
    <row r="27" spans="1:4" s="3" customFormat="1">
      <c r="A27" s="121" t="s">
        <v>27</v>
      </c>
      <c r="B27" s="113">
        <v>430000</v>
      </c>
      <c r="C27" s="111">
        <v>0</v>
      </c>
      <c r="D27" s="122">
        <f t="shared" si="1"/>
        <v>430000</v>
      </c>
    </row>
    <row r="28" spans="1:4" s="3" customFormat="1">
      <c r="A28" s="121" t="s">
        <v>28</v>
      </c>
      <c r="B28" s="113">
        <v>735000</v>
      </c>
      <c r="C28" s="111">
        <v>79000</v>
      </c>
      <c r="D28" s="122">
        <f t="shared" si="1"/>
        <v>814000</v>
      </c>
    </row>
    <row r="29" spans="1:4" s="3" customFormat="1">
      <c r="A29" s="121" t="s">
        <v>29</v>
      </c>
      <c r="B29" s="113">
        <v>485892</v>
      </c>
      <c r="C29" s="111">
        <v>113519</v>
      </c>
      <c r="D29" s="122">
        <f t="shared" si="1"/>
        <v>599411</v>
      </c>
    </row>
    <row r="30" spans="1:4" s="3" customFormat="1">
      <c r="A30" s="121" t="s">
        <v>30</v>
      </c>
      <c r="B30" s="113">
        <v>94047</v>
      </c>
      <c r="C30" s="111">
        <v>0</v>
      </c>
      <c r="D30" s="122">
        <f t="shared" si="1"/>
        <v>94047</v>
      </c>
    </row>
    <row r="31" spans="1:4" s="3" customFormat="1">
      <c r="A31" s="121" t="s">
        <v>31</v>
      </c>
      <c r="B31" s="113">
        <v>188000</v>
      </c>
      <c r="C31" s="111">
        <v>156000</v>
      </c>
      <c r="D31" s="122">
        <f t="shared" si="1"/>
        <v>344000</v>
      </c>
    </row>
    <row r="32" spans="1:4" s="3" customFormat="1">
      <c r="A32" s="121" t="s">
        <v>32</v>
      </c>
      <c r="B32" s="113">
        <v>464878</v>
      </c>
      <c r="C32" s="111">
        <v>0</v>
      </c>
      <c r="D32" s="122">
        <f t="shared" si="1"/>
        <v>464878</v>
      </c>
    </row>
    <row r="33" spans="1:4" s="3" customFormat="1">
      <c r="A33" s="121" t="s">
        <v>33</v>
      </c>
      <c r="B33" s="113">
        <v>559880</v>
      </c>
      <c r="C33" s="111">
        <v>0</v>
      </c>
      <c r="D33" s="122">
        <f t="shared" si="1"/>
        <v>559880</v>
      </c>
    </row>
    <row r="34" spans="1:4" s="3" customFormat="1">
      <c r="A34" s="121" t="s">
        <v>34</v>
      </c>
      <c r="B34" s="113">
        <v>1945000</v>
      </c>
      <c r="C34" s="111">
        <v>210000</v>
      </c>
      <c r="D34" s="122">
        <f t="shared" si="1"/>
        <v>2155000</v>
      </c>
    </row>
    <row r="35" spans="1:4" s="3" customFormat="1">
      <c r="A35" s="121" t="s">
        <v>35</v>
      </c>
      <c r="B35" s="113">
        <v>25000</v>
      </c>
      <c r="C35" s="111">
        <v>17000</v>
      </c>
      <c r="D35" s="122">
        <f t="shared" si="1"/>
        <v>42000</v>
      </c>
    </row>
    <row r="36" spans="1:4" s="3" customFormat="1">
      <c r="A36" s="16" t="s">
        <v>43</v>
      </c>
      <c r="B36" s="11">
        <f>SUM(B25:B35)</f>
        <v>5029697</v>
      </c>
      <c r="C36" s="11">
        <f>SUM(C25:C35)</f>
        <v>575519</v>
      </c>
      <c r="D36" s="102">
        <f>SUM(D25:D35)</f>
        <v>5605216</v>
      </c>
    </row>
    <row r="37" spans="1:4" s="3" customFormat="1">
      <c r="A37" s="4"/>
      <c r="B37" s="9"/>
      <c r="C37" s="9"/>
      <c r="D37" s="119"/>
    </row>
    <row r="38" spans="1:4" s="3" customFormat="1">
      <c r="A38" s="17" t="s">
        <v>36</v>
      </c>
      <c r="B38" s="12">
        <f>B22+B36</f>
        <v>1580164416.73</v>
      </c>
      <c r="C38" s="12">
        <f>C22+C36</f>
        <v>362304151.00999999</v>
      </c>
      <c r="D38" s="103">
        <f>D22+D36</f>
        <v>1942468567.74</v>
      </c>
    </row>
    <row r="39" spans="1:4" s="3" customFormat="1">
      <c r="A39" s="4"/>
      <c r="B39" s="9"/>
      <c r="C39" s="9"/>
      <c r="D39" s="119"/>
    </row>
    <row r="40" spans="1:4" s="3" customFormat="1">
      <c r="A40" s="4"/>
      <c r="B40" s="9"/>
      <c r="C40" s="9"/>
      <c r="D40" s="119"/>
    </row>
    <row r="41" spans="1:4">
      <c r="A41" s="14" t="s">
        <v>44</v>
      </c>
      <c r="B41" s="22"/>
      <c r="C41" s="22"/>
      <c r="D41" s="96"/>
    </row>
    <row r="42" spans="1:4">
      <c r="A42" s="133" t="s">
        <v>45</v>
      </c>
      <c r="B42" s="132">
        <v>66564342</v>
      </c>
      <c r="C42" s="111">
        <v>15005340</v>
      </c>
      <c r="D42" s="117">
        <f>B42+C42</f>
        <v>81569682</v>
      </c>
    </row>
    <row r="43" spans="1:4">
      <c r="A43" s="116" t="s">
        <v>46</v>
      </c>
      <c r="B43" s="113">
        <v>4660000</v>
      </c>
      <c r="C43" s="111">
        <v>1370000</v>
      </c>
      <c r="D43" s="117">
        <f t="shared" ref="D43:D77" si="2">B43+C43</f>
        <v>6030000</v>
      </c>
    </row>
    <row r="44" spans="1:4">
      <c r="A44" s="116" t="s">
        <v>47</v>
      </c>
      <c r="B44" s="113">
        <v>3734595</v>
      </c>
      <c r="C44" s="111">
        <v>622063</v>
      </c>
      <c r="D44" s="117">
        <f t="shared" si="2"/>
        <v>4356658</v>
      </c>
    </row>
    <row r="45" spans="1:4">
      <c r="A45" s="116" t="s">
        <v>48</v>
      </c>
      <c r="B45" s="113">
        <v>27813000</v>
      </c>
      <c r="C45" s="111">
        <v>0</v>
      </c>
      <c r="D45" s="117">
        <f t="shared" si="2"/>
        <v>27813000</v>
      </c>
    </row>
    <row r="46" spans="1:4">
      <c r="A46" s="116" t="s">
        <v>49</v>
      </c>
      <c r="B46" s="113">
        <v>3386000</v>
      </c>
      <c r="C46" s="111">
        <v>430000</v>
      </c>
      <c r="D46" s="117">
        <f t="shared" si="2"/>
        <v>3816000</v>
      </c>
    </row>
    <row r="47" spans="1:4">
      <c r="A47" s="116" t="s">
        <v>50</v>
      </c>
      <c r="B47" s="113">
        <v>3419900</v>
      </c>
      <c r="C47" s="111">
        <v>554720</v>
      </c>
      <c r="D47" s="117">
        <f t="shared" si="2"/>
        <v>3974620</v>
      </c>
    </row>
    <row r="48" spans="1:4">
      <c r="A48" s="116" t="s">
        <v>51</v>
      </c>
      <c r="B48" s="113">
        <v>63286000</v>
      </c>
      <c r="C48" s="111">
        <v>4900000</v>
      </c>
      <c r="D48" s="117">
        <f t="shared" si="2"/>
        <v>68186000</v>
      </c>
    </row>
    <row r="49" spans="1:4">
      <c r="A49" s="116" t="s">
        <v>52</v>
      </c>
      <c r="B49" s="113">
        <v>728000</v>
      </c>
      <c r="C49" s="111">
        <v>260000</v>
      </c>
      <c r="D49" s="117">
        <f t="shared" si="2"/>
        <v>988000</v>
      </c>
    </row>
    <row r="50" spans="1:4">
      <c r="A50" s="116" t="s">
        <v>53</v>
      </c>
      <c r="B50" s="113">
        <v>12292900</v>
      </c>
      <c r="C50" s="111">
        <v>1101000</v>
      </c>
      <c r="D50" s="117">
        <f t="shared" si="2"/>
        <v>13393900</v>
      </c>
    </row>
    <row r="51" spans="1:4">
      <c r="A51" s="116" t="s">
        <v>54</v>
      </c>
      <c r="B51" s="113">
        <v>2000000</v>
      </c>
      <c r="C51" s="111">
        <v>0</v>
      </c>
      <c r="D51" s="117">
        <f t="shared" si="2"/>
        <v>2000000</v>
      </c>
    </row>
    <row r="52" spans="1:4">
      <c r="A52" s="116" t="s">
        <v>55</v>
      </c>
      <c r="B52" s="113">
        <v>21255000</v>
      </c>
      <c r="C52" s="111">
        <v>2338000</v>
      </c>
      <c r="D52" s="117">
        <f t="shared" si="2"/>
        <v>23593000</v>
      </c>
    </row>
    <row r="53" spans="1:4">
      <c r="A53" s="116" t="s">
        <v>56</v>
      </c>
      <c r="B53" s="113">
        <v>3270200</v>
      </c>
      <c r="C53" s="111">
        <v>0</v>
      </c>
      <c r="D53" s="117">
        <f t="shared" si="2"/>
        <v>3270200</v>
      </c>
    </row>
    <row r="54" spans="1:4">
      <c r="A54" s="116" t="s">
        <v>58</v>
      </c>
      <c r="B54" s="113">
        <v>5000000</v>
      </c>
      <c r="C54" s="111">
        <v>90200000</v>
      </c>
      <c r="D54" s="117">
        <f>B54+C54</f>
        <v>95200000</v>
      </c>
    </row>
    <row r="55" spans="1:4">
      <c r="A55" s="116" t="s">
        <v>59</v>
      </c>
      <c r="B55" s="113">
        <v>25066000</v>
      </c>
      <c r="C55" s="198">
        <v>1500000</v>
      </c>
      <c r="D55" s="117">
        <f>B55+C54</f>
        <v>115266000</v>
      </c>
    </row>
    <row r="56" spans="1:4">
      <c r="A56" s="116" t="s">
        <v>120</v>
      </c>
      <c r="B56" s="113">
        <v>18552850</v>
      </c>
      <c r="C56" s="111">
        <v>177375</v>
      </c>
      <c r="D56" s="117">
        <f t="shared" si="2"/>
        <v>18730225</v>
      </c>
    </row>
    <row r="57" spans="1:4">
      <c r="A57" s="116" t="s">
        <v>61</v>
      </c>
      <c r="B57" s="113">
        <v>55309350</v>
      </c>
      <c r="C57" s="111">
        <v>56813800</v>
      </c>
      <c r="D57" s="117">
        <f t="shared" si="2"/>
        <v>112123150</v>
      </c>
    </row>
    <row r="58" spans="1:4">
      <c r="A58" s="116" t="s">
        <v>60</v>
      </c>
      <c r="B58" s="113">
        <v>2101050</v>
      </c>
      <c r="C58" s="111">
        <v>0</v>
      </c>
      <c r="D58" s="117">
        <f t="shared" si="2"/>
        <v>2101050</v>
      </c>
    </row>
    <row r="59" spans="1:4">
      <c r="A59" s="116" t="s">
        <v>62</v>
      </c>
      <c r="B59" s="113">
        <v>0</v>
      </c>
      <c r="C59" s="111">
        <v>0</v>
      </c>
      <c r="D59" s="117">
        <f t="shared" si="2"/>
        <v>0</v>
      </c>
    </row>
    <row r="60" spans="1:4">
      <c r="A60" s="116" t="s">
        <v>63</v>
      </c>
      <c r="B60" s="113">
        <v>3211300</v>
      </c>
      <c r="C60" s="111">
        <v>30000</v>
      </c>
      <c r="D60" s="117">
        <f t="shared" si="2"/>
        <v>3241300</v>
      </c>
    </row>
    <row r="61" spans="1:4">
      <c r="A61" s="116" t="s">
        <v>64</v>
      </c>
      <c r="B61" s="113">
        <v>1505000</v>
      </c>
      <c r="C61" s="111">
        <v>0</v>
      </c>
      <c r="D61" s="117">
        <f t="shared" si="2"/>
        <v>1505000</v>
      </c>
    </row>
    <row r="62" spans="1:4">
      <c r="A62" s="116" t="s">
        <v>65</v>
      </c>
      <c r="B62" s="113">
        <v>16311900</v>
      </c>
      <c r="C62" s="111">
        <v>0</v>
      </c>
      <c r="D62" s="117">
        <f t="shared" si="2"/>
        <v>16311900</v>
      </c>
    </row>
    <row r="63" spans="1:4">
      <c r="A63" s="116" t="s">
        <v>66</v>
      </c>
      <c r="B63" s="113">
        <v>5806808</v>
      </c>
      <c r="C63" s="111">
        <v>0</v>
      </c>
      <c r="D63" s="117">
        <f t="shared" si="2"/>
        <v>5806808</v>
      </c>
    </row>
    <row r="64" spans="1:4">
      <c r="A64" s="116" t="s">
        <v>67</v>
      </c>
      <c r="B64" s="113">
        <v>34697000</v>
      </c>
      <c r="C64" s="111">
        <v>840000</v>
      </c>
      <c r="D64" s="117">
        <f t="shared" si="2"/>
        <v>35537000</v>
      </c>
    </row>
    <row r="65" spans="1:4">
      <c r="A65" s="116" t="s">
        <v>68</v>
      </c>
      <c r="B65" s="113">
        <v>11660000</v>
      </c>
      <c r="C65" s="111">
        <v>0</v>
      </c>
      <c r="D65" s="117">
        <f t="shared" si="2"/>
        <v>11660000</v>
      </c>
    </row>
    <row r="66" spans="1:4">
      <c r="A66" s="116" t="s">
        <v>69</v>
      </c>
      <c r="B66" s="113">
        <v>41045880</v>
      </c>
      <c r="C66" s="111">
        <v>5127800</v>
      </c>
      <c r="D66" s="117">
        <f t="shared" si="2"/>
        <v>46173680</v>
      </c>
    </row>
    <row r="67" spans="1:4">
      <c r="A67" s="116" t="s">
        <v>71</v>
      </c>
      <c r="B67" s="113">
        <v>18061850</v>
      </c>
      <c r="C67" s="111">
        <v>0</v>
      </c>
      <c r="D67" s="117">
        <f t="shared" si="2"/>
        <v>18061850</v>
      </c>
    </row>
    <row r="68" spans="1:4">
      <c r="A68" s="116" t="s">
        <v>72</v>
      </c>
      <c r="B68" s="113">
        <v>15787970</v>
      </c>
      <c r="C68" s="111">
        <v>1480040</v>
      </c>
      <c r="D68" s="117">
        <f t="shared" si="2"/>
        <v>17268010</v>
      </c>
    </row>
    <row r="69" spans="1:4">
      <c r="A69" s="116" t="s">
        <v>73</v>
      </c>
      <c r="B69" s="113">
        <v>43131155</v>
      </c>
      <c r="C69" s="111">
        <v>13395000</v>
      </c>
      <c r="D69" s="117">
        <f t="shared" si="2"/>
        <v>56526155</v>
      </c>
    </row>
    <row r="70" spans="1:4">
      <c r="A70" s="116" t="s">
        <v>74</v>
      </c>
      <c r="B70" s="113">
        <v>17286400</v>
      </c>
      <c r="C70" s="111">
        <v>1673000</v>
      </c>
      <c r="D70" s="117">
        <f t="shared" si="2"/>
        <v>18959400</v>
      </c>
    </row>
    <row r="71" spans="1:4">
      <c r="A71" s="116" t="s">
        <v>75</v>
      </c>
      <c r="B71" s="113">
        <v>0</v>
      </c>
      <c r="C71" s="111">
        <v>0</v>
      </c>
      <c r="D71" s="117">
        <f t="shared" si="2"/>
        <v>0</v>
      </c>
    </row>
    <row r="72" spans="1:4">
      <c r="A72" s="116" t="s">
        <v>76</v>
      </c>
      <c r="B72" s="113">
        <v>12872634</v>
      </c>
      <c r="C72" s="111">
        <v>0</v>
      </c>
      <c r="D72" s="117">
        <f t="shared" si="2"/>
        <v>12872634</v>
      </c>
    </row>
    <row r="73" spans="1:4">
      <c r="A73" s="116" t="s">
        <v>77</v>
      </c>
      <c r="B73" s="113">
        <v>209266329</v>
      </c>
      <c r="C73" s="111">
        <v>46228610</v>
      </c>
      <c r="D73" s="117">
        <f t="shared" si="2"/>
        <v>255494939</v>
      </c>
    </row>
    <row r="74" spans="1:4">
      <c r="A74" s="116" t="s">
        <v>78</v>
      </c>
      <c r="B74" s="113">
        <v>2565900</v>
      </c>
      <c r="C74" s="111">
        <v>346500</v>
      </c>
      <c r="D74" s="117">
        <f t="shared" si="2"/>
        <v>2912400</v>
      </c>
    </row>
    <row r="75" spans="1:4">
      <c r="A75" s="116" t="s">
        <v>79</v>
      </c>
      <c r="B75" s="113">
        <v>13266950</v>
      </c>
      <c r="C75" s="111">
        <v>372000</v>
      </c>
      <c r="D75" s="117">
        <f t="shared" si="2"/>
        <v>13638950</v>
      </c>
    </row>
    <row r="76" spans="1:4">
      <c r="A76" s="116" t="s">
        <v>80</v>
      </c>
      <c r="B76" s="113">
        <v>11883700</v>
      </c>
      <c r="C76" s="111">
        <v>6958050</v>
      </c>
      <c r="D76" s="117">
        <f t="shared" si="2"/>
        <v>18841750</v>
      </c>
    </row>
    <row r="77" spans="1:4">
      <c r="A77" s="116" t="s">
        <v>119</v>
      </c>
      <c r="B77" s="113">
        <v>138240000</v>
      </c>
      <c r="C77" s="111">
        <v>5000000</v>
      </c>
      <c r="D77" s="117">
        <f t="shared" si="2"/>
        <v>143240000</v>
      </c>
    </row>
    <row r="78" spans="1:4" ht="16.3" thickBot="1">
      <c r="A78" s="27" t="s">
        <v>81</v>
      </c>
      <c r="B78" s="114">
        <f>SUM(B42:B77)</f>
        <v>915039963</v>
      </c>
      <c r="C78" s="114">
        <f>SUM(C42:C77)</f>
        <v>256723298</v>
      </c>
      <c r="D78" s="123">
        <f>SUM(B78:C78)</f>
        <v>1171763261</v>
      </c>
    </row>
    <row r="79" spans="1:4" s="3" customFormat="1" ht="16.3" thickTop="1">
      <c r="A79" s="6"/>
      <c r="B79" s="9"/>
      <c r="C79" s="9"/>
      <c r="D79" s="119"/>
    </row>
    <row r="80" spans="1:4">
      <c r="A80" s="124" t="s">
        <v>82</v>
      </c>
      <c r="B80" s="115">
        <f>(ROUND(B6+B38-B78, 5))</f>
        <v>735950031.46000004</v>
      </c>
      <c r="C80" s="115">
        <f>C38-C78</f>
        <v>105580853.00999999</v>
      </c>
      <c r="D80" s="115">
        <f>(ROUND((D6+D38)-D78, 5))</f>
        <v>848433360.48000002</v>
      </c>
    </row>
    <row r="81" spans="1:4">
      <c r="A81" s="126"/>
      <c r="D81" s="127"/>
    </row>
    <row r="82" spans="1:4">
      <c r="A82" s="14" t="s">
        <v>104</v>
      </c>
      <c r="B82" s="24"/>
      <c r="C82" s="24"/>
      <c r="D82" s="96"/>
    </row>
    <row r="83" spans="1:4">
      <c r="A83" s="21" t="s">
        <v>37</v>
      </c>
      <c r="B83" s="42">
        <v>-608066000</v>
      </c>
      <c r="C83" s="111">
        <v>-101940000</v>
      </c>
      <c r="D83" s="96">
        <f>B83+C83</f>
        <v>-710006000</v>
      </c>
    </row>
    <row r="84" spans="1:4">
      <c r="A84" s="21" t="s">
        <v>87</v>
      </c>
      <c r="B84" s="42">
        <v>-6196600</v>
      </c>
      <c r="C84" s="42"/>
      <c r="D84" s="96">
        <f>B84+C84</f>
        <v>-6196600</v>
      </c>
    </row>
    <row r="85" spans="1:4">
      <c r="A85" s="36" t="s">
        <v>88</v>
      </c>
      <c r="B85" s="42">
        <v>-6104600</v>
      </c>
      <c r="C85" s="42"/>
      <c r="D85" s="96">
        <f>B85+C85</f>
        <v>-6104600</v>
      </c>
    </row>
    <row r="86" spans="1:4">
      <c r="A86" s="36" t="s">
        <v>38</v>
      </c>
      <c r="B86" s="42">
        <v>0</v>
      </c>
      <c r="C86" s="42"/>
      <c r="D86" s="96">
        <f>B86+C86</f>
        <v>0</v>
      </c>
    </row>
    <row r="87" spans="1:4">
      <c r="A87" s="128" t="s">
        <v>133</v>
      </c>
      <c r="B87" s="42">
        <v>0</v>
      </c>
      <c r="C87" s="42"/>
      <c r="D87" s="117">
        <f>B87+C87</f>
        <v>0</v>
      </c>
    </row>
    <row r="88" spans="1:4">
      <c r="A88" s="128" t="s">
        <v>167</v>
      </c>
      <c r="B88" s="42">
        <v>66537.440000000002</v>
      </c>
      <c r="C88" s="42"/>
      <c r="D88" s="117"/>
    </row>
    <row r="89" spans="1:4">
      <c r="A89" s="128" t="s">
        <v>165</v>
      </c>
      <c r="B89" s="42">
        <v>-55305</v>
      </c>
      <c r="C89" s="42"/>
      <c r="D89" s="117"/>
    </row>
    <row r="90" spans="1:4">
      <c r="A90" s="128" t="s">
        <v>166</v>
      </c>
      <c r="B90" s="42">
        <v>127399.00999999998</v>
      </c>
      <c r="C90" s="42"/>
      <c r="D90" s="117"/>
    </row>
    <row r="91" spans="1:4">
      <c r="A91" s="128" t="s">
        <v>170</v>
      </c>
      <c r="B91" s="42"/>
      <c r="C91" s="42">
        <v>868.88</v>
      </c>
      <c r="D91" s="117">
        <f t="shared" ref="D91" si="3">B91+C91</f>
        <v>868.88</v>
      </c>
    </row>
    <row r="92" spans="1:4">
      <c r="A92" s="128" t="s">
        <v>171</v>
      </c>
      <c r="B92" s="42"/>
      <c r="C92" s="182">
        <v>10734.8</v>
      </c>
      <c r="D92" s="117">
        <f t="shared" ref="D92:D93" si="4">B92+C92</f>
        <v>10734.8</v>
      </c>
    </row>
    <row r="93" spans="1:4">
      <c r="A93" s="36" t="s">
        <v>172</v>
      </c>
      <c r="B93" s="42"/>
      <c r="C93" s="42">
        <v>2422.85</v>
      </c>
      <c r="D93" s="117">
        <f t="shared" si="4"/>
        <v>2422.85</v>
      </c>
    </row>
    <row r="94" spans="1:4" s="197" customFormat="1">
      <c r="A94" s="194" t="s">
        <v>105</v>
      </c>
      <c r="B94" s="195">
        <v>-620229066.18999994</v>
      </c>
      <c r="C94" s="195">
        <f>C84+C85+C87+C83+C91+C92+C93</f>
        <v>-101925973.47000001</v>
      </c>
      <c r="D94" s="196">
        <f>SUM(D83:D93)</f>
        <v>-722293173.47000003</v>
      </c>
    </row>
    <row r="95" spans="1:4">
      <c r="A95" s="21"/>
      <c r="B95" s="24"/>
      <c r="C95" s="24"/>
      <c r="D95" s="96"/>
    </row>
    <row r="96" spans="1:4">
      <c r="A96" s="21"/>
      <c r="B96" s="24"/>
      <c r="C96" s="24"/>
      <c r="D96" s="96"/>
    </row>
    <row r="97" spans="1:4" ht="16.3" thickBot="1">
      <c r="A97" s="38" t="s">
        <v>106</v>
      </c>
      <c r="B97" s="108">
        <f>B80+B94</f>
        <v>115720965.2700001</v>
      </c>
      <c r="C97" s="40">
        <f>C80+C94</f>
        <v>3654879.5399999768</v>
      </c>
      <c r="D97" s="108">
        <f>D80+D94</f>
        <v>126140187.00999999</v>
      </c>
    </row>
    <row r="98" spans="1:4" ht="16.75" thickTop="1" thickBot="1">
      <c r="A98" s="7"/>
      <c r="B98" s="98"/>
      <c r="C98" s="98"/>
      <c r="D98" s="44"/>
    </row>
    <row r="99" spans="1:4">
      <c r="A99" s="130"/>
      <c r="B99" s="131"/>
      <c r="C99" s="131"/>
      <c r="D99" s="131"/>
    </row>
    <row r="100" spans="1:4">
      <c r="D100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5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704F-6338-4DB8-A2D7-0BC45011C872}">
  <sheetPr>
    <pageSetUpPr fitToPage="1"/>
  </sheetPr>
  <dimension ref="A1:D99"/>
  <sheetViews>
    <sheetView topLeftCell="A84" workbookViewId="0">
      <selection activeCell="B32" sqref="B32"/>
    </sheetView>
  </sheetViews>
  <sheetFormatPr defaultColWidth="9.3046875" defaultRowHeight="15.9"/>
  <cols>
    <col min="1" max="1" width="38" style="20" customWidth="1"/>
    <col min="2" max="3" width="21.69140625" style="20" customWidth="1"/>
    <col min="4" max="4" width="20.3046875" style="23" customWidth="1"/>
    <col min="5" max="16384" width="9.30468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45961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116</v>
      </c>
      <c r="D5" s="99" t="s">
        <v>130</v>
      </c>
    </row>
    <row r="6" spans="1:4">
      <c r="A6" s="116" t="s">
        <v>39</v>
      </c>
      <c r="B6" s="117">
        <v>77728053.739999995</v>
      </c>
      <c r="C6" s="10">
        <v>3640852.37</v>
      </c>
      <c r="D6" s="117">
        <f>B6+C6</f>
        <v>81368906.109999999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2">
        <v>1693810</v>
      </c>
      <c r="C8" s="111">
        <v>379130</v>
      </c>
      <c r="D8" s="117">
        <f t="shared" ref="D8:D21" si="0">B8+C8</f>
        <v>2072940</v>
      </c>
    </row>
    <row r="9" spans="1:4">
      <c r="A9" s="116" t="s">
        <v>10</v>
      </c>
      <c r="B9" s="42">
        <v>168964537</v>
      </c>
      <c r="C9" s="111">
        <v>16114207</v>
      </c>
      <c r="D9" s="117">
        <f t="shared" si="0"/>
        <v>185078744</v>
      </c>
    </row>
    <row r="10" spans="1:4">
      <c r="A10" s="116" t="s">
        <v>11</v>
      </c>
      <c r="B10" s="42">
        <v>818426577</v>
      </c>
      <c r="C10" s="111">
        <v>169852187</v>
      </c>
      <c r="D10" s="117">
        <f t="shared" si="0"/>
        <v>988278764</v>
      </c>
    </row>
    <row r="11" spans="1:4">
      <c r="A11" s="116" t="s">
        <v>12</v>
      </c>
      <c r="B11" s="42">
        <v>644919867</v>
      </c>
      <c r="C11" s="111">
        <v>10412342</v>
      </c>
      <c r="D11" s="117">
        <f t="shared" si="0"/>
        <v>655332209</v>
      </c>
    </row>
    <row r="12" spans="1:4">
      <c r="A12" s="116" t="s">
        <v>14</v>
      </c>
      <c r="B12" s="42">
        <v>14968075</v>
      </c>
      <c r="C12" s="111">
        <v>721783</v>
      </c>
      <c r="D12" s="117">
        <f t="shared" si="0"/>
        <v>15689858</v>
      </c>
    </row>
    <row r="13" spans="1:4">
      <c r="A13" s="116" t="s">
        <v>132</v>
      </c>
      <c r="B13" s="42">
        <v>0</v>
      </c>
      <c r="C13" s="111">
        <v>0</v>
      </c>
      <c r="D13" s="117">
        <f t="shared" si="0"/>
        <v>0</v>
      </c>
    </row>
    <row r="14" spans="1:4">
      <c r="A14" s="116" t="s">
        <v>15</v>
      </c>
      <c r="B14" s="42">
        <v>35037381</v>
      </c>
      <c r="C14" s="111">
        <v>981400</v>
      </c>
      <c r="D14" s="117">
        <f t="shared" si="0"/>
        <v>36018781</v>
      </c>
    </row>
    <row r="15" spans="1:4">
      <c r="A15" s="116" t="s">
        <v>16</v>
      </c>
      <c r="B15" s="42">
        <v>158295036</v>
      </c>
      <c r="C15" s="111">
        <v>15114697</v>
      </c>
      <c r="D15" s="117">
        <f t="shared" si="0"/>
        <v>173409733</v>
      </c>
    </row>
    <row r="16" spans="1:4">
      <c r="A16" s="116" t="s">
        <v>17</v>
      </c>
      <c r="B16" s="42">
        <v>2000</v>
      </c>
      <c r="C16" s="111">
        <v>0</v>
      </c>
      <c r="D16" s="117">
        <f t="shared" si="0"/>
        <v>2000</v>
      </c>
    </row>
    <row r="17" spans="1:4">
      <c r="A17" s="116" t="s">
        <v>21</v>
      </c>
      <c r="B17" s="42">
        <v>2261437</v>
      </c>
      <c r="C17" s="111">
        <v>315773</v>
      </c>
      <c r="D17" s="117">
        <f t="shared" si="0"/>
        <v>2577210</v>
      </c>
    </row>
    <row r="18" spans="1:4">
      <c r="A18" s="116" t="s">
        <v>22</v>
      </c>
      <c r="B18" s="42">
        <v>4308000</v>
      </c>
      <c r="C18" s="111">
        <v>551000</v>
      </c>
      <c r="D18" s="117">
        <f t="shared" si="0"/>
        <v>4859000</v>
      </c>
    </row>
    <row r="19" spans="1:4">
      <c r="A19" s="116" t="s">
        <v>23</v>
      </c>
      <c r="B19" s="42">
        <v>1401076</v>
      </c>
      <c r="C19" s="111">
        <v>0</v>
      </c>
      <c r="D19" s="117">
        <f t="shared" si="0"/>
        <v>1401076</v>
      </c>
    </row>
    <row r="20" spans="1:4">
      <c r="A20" s="116" t="s">
        <v>164</v>
      </c>
      <c r="B20" s="42">
        <v>1777736</v>
      </c>
      <c r="C20" s="111">
        <v>0</v>
      </c>
      <c r="D20" s="117">
        <f t="shared" si="0"/>
        <v>1777736</v>
      </c>
    </row>
    <row r="21" spans="1:4">
      <c r="A21" s="116" t="s">
        <v>24</v>
      </c>
      <c r="B21" s="42">
        <v>7079766</v>
      </c>
      <c r="C21" s="111">
        <v>1043108</v>
      </c>
      <c r="D21" s="117">
        <f t="shared" si="0"/>
        <v>8122874</v>
      </c>
    </row>
    <row r="22" spans="1:4">
      <c r="A22" s="16" t="s">
        <v>41</v>
      </c>
      <c r="B22" s="26">
        <f>SUM(B6:B21)</f>
        <v>1936863351.74</v>
      </c>
      <c r="C22" s="112">
        <f>SUM(C6:C21)</f>
        <v>219126479.37</v>
      </c>
      <c r="D22" s="118">
        <f>SUM(D6:D21)</f>
        <v>2155989831.1100001</v>
      </c>
    </row>
    <row r="23" spans="1:4" s="3" customFormat="1">
      <c r="A23" s="4"/>
      <c r="B23" s="9"/>
      <c r="C23" s="9"/>
      <c r="D23" s="119"/>
    </row>
    <row r="24" spans="1:4" s="3" customFormat="1">
      <c r="A24" s="14" t="s">
        <v>42</v>
      </c>
      <c r="B24" s="9"/>
      <c r="C24" s="9"/>
      <c r="D24" s="119"/>
    </row>
    <row r="25" spans="1:4" s="3" customFormat="1">
      <c r="A25" s="120" t="s">
        <v>18</v>
      </c>
      <c r="B25" s="42">
        <v>0</v>
      </c>
      <c r="C25" s="111">
        <v>0</v>
      </c>
      <c r="D25" s="119">
        <f t="shared" ref="D25:D35" si="1">B25+C25</f>
        <v>0</v>
      </c>
    </row>
    <row r="26" spans="1:4" s="3" customFormat="1">
      <c r="A26" s="121" t="s">
        <v>26</v>
      </c>
      <c r="B26" s="42">
        <v>102000</v>
      </c>
      <c r="C26" s="111">
        <v>53200</v>
      </c>
      <c r="D26" s="122">
        <f t="shared" si="1"/>
        <v>155200</v>
      </c>
    </row>
    <row r="27" spans="1:4" s="3" customFormat="1">
      <c r="A27" s="121" t="s">
        <v>27</v>
      </c>
      <c r="B27" s="42">
        <v>430000</v>
      </c>
      <c r="C27" s="111">
        <v>0</v>
      </c>
      <c r="D27" s="122">
        <f t="shared" si="1"/>
        <v>430000</v>
      </c>
    </row>
    <row r="28" spans="1:4" s="3" customFormat="1">
      <c r="A28" s="121" t="s">
        <v>28</v>
      </c>
      <c r="B28" s="42">
        <v>814000</v>
      </c>
      <c r="C28" s="111">
        <v>69000</v>
      </c>
      <c r="D28" s="122">
        <f t="shared" si="1"/>
        <v>883000</v>
      </c>
    </row>
    <row r="29" spans="1:4" s="3" customFormat="1">
      <c r="A29" s="121" t="s">
        <v>29</v>
      </c>
      <c r="B29" s="42">
        <v>599411</v>
      </c>
      <c r="C29" s="111">
        <v>48206</v>
      </c>
      <c r="D29" s="122">
        <f t="shared" si="1"/>
        <v>647617</v>
      </c>
    </row>
    <row r="30" spans="1:4" s="3" customFormat="1">
      <c r="A30" s="121" t="s">
        <v>30</v>
      </c>
      <c r="B30" s="42">
        <v>94047</v>
      </c>
      <c r="C30" s="111">
        <v>0</v>
      </c>
      <c r="D30" s="122">
        <f t="shared" si="1"/>
        <v>94047</v>
      </c>
    </row>
    <row r="31" spans="1:4" s="3" customFormat="1">
      <c r="A31" s="121" t="s">
        <v>31</v>
      </c>
      <c r="B31" s="42">
        <v>344000</v>
      </c>
      <c r="C31" s="111">
        <v>131300</v>
      </c>
      <c r="D31" s="122">
        <f t="shared" si="1"/>
        <v>475300</v>
      </c>
    </row>
    <row r="32" spans="1:4" s="3" customFormat="1">
      <c r="A32" s="121" t="s">
        <v>32</v>
      </c>
      <c r="B32" s="42">
        <v>464878</v>
      </c>
      <c r="C32" s="111">
        <v>0</v>
      </c>
      <c r="D32" s="122">
        <f t="shared" si="1"/>
        <v>464878</v>
      </c>
    </row>
    <row r="33" spans="1:4" s="3" customFormat="1">
      <c r="A33" s="121" t="s">
        <v>33</v>
      </c>
      <c r="B33" s="42">
        <v>559880</v>
      </c>
      <c r="C33" s="111">
        <v>0</v>
      </c>
      <c r="D33" s="122">
        <f t="shared" si="1"/>
        <v>559880</v>
      </c>
    </row>
    <row r="34" spans="1:4" s="3" customFormat="1">
      <c r="A34" s="121" t="s">
        <v>34</v>
      </c>
      <c r="B34" s="42">
        <v>2155000</v>
      </c>
      <c r="C34" s="111">
        <v>170000</v>
      </c>
      <c r="D34" s="122">
        <f t="shared" si="1"/>
        <v>2325000</v>
      </c>
    </row>
    <row r="35" spans="1:4" s="3" customFormat="1">
      <c r="A35" s="121" t="s">
        <v>35</v>
      </c>
      <c r="B35" s="42">
        <v>42000</v>
      </c>
      <c r="C35" s="111">
        <v>0</v>
      </c>
      <c r="D35" s="122">
        <f t="shared" si="1"/>
        <v>42000</v>
      </c>
    </row>
    <row r="36" spans="1:4" s="3" customFormat="1">
      <c r="A36" s="16" t="s">
        <v>43</v>
      </c>
      <c r="B36" s="11">
        <f>SUM(B25:B35)</f>
        <v>5605216</v>
      </c>
      <c r="C36" s="11">
        <f>SUM(C25:C35)</f>
        <v>471706</v>
      </c>
      <c r="D36" s="102">
        <f>SUM(D25:D35)</f>
        <v>6076922</v>
      </c>
    </row>
    <row r="37" spans="1:4" s="3" customFormat="1">
      <c r="A37" s="4"/>
      <c r="B37" s="9"/>
      <c r="C37" s="9"/>
      <c r="D37" s="119"/>
    </row>
    <row r="38" spans="1:4" s="3" customFormat="1">
      <c r="A38" s="17" t="s">
        <v>36</v>
      </c>
      <c r="B38" s="12">
        <f>B22+B36</f>
        <v>1942468567.74</v>
      </c>
      <c r="C38" s="12">
        <f>C22+C36</f>
        <v>219598185.37</v>
      </c>
      <c r="D38" s="103">
        <f>D22+D36</f>
        <v>2162066753.1100001</v>
      </c>
    </row>
    <row r="39" spans="1:4" s="3" customFormat="1">
      <c r="A39" s="4"/>
      <c r="B39" s="9"/>
      <c r="C39" s="9"/>
      <c r="D39" s="119"/>
    </row>
    <row r="40" spans="1:4" s="3" customFormat="1">
      <c r="A40" s="4"/>
      <c r="B40" s="9"/>
      <c r="C40" s="9"/>
      <c r="D40" s="119"/>
    </row>
    <row r="41" spans="1:4">
      <c r="A41" s="14" t="s">
        <v>44</v>
      </c>
      <c r="B41" s="22"/>
      <c r="C41" s="22"/>
      <c r="D41" s="96"/>
    </row>
    <row r="42" spans="1:4">
      <c r="A42" s="133" t="s">
        <v>45</v>
      </c>
      <c r="B42" s="42">
        <v>81569682</v>
      </c>
      <c r="C42" s="111">
        <v>5344050</v>
      </c>
      <c r="D42" s="117">
        <f t="shared" ref="D42:D79" si="2">B42+C42</f>
        <v>86913732</v>
      </c>
    </row>
    <row r="43" spans="1:4">
      <c r="A43" s="116" t="s">
        <v>46</v>
      </c>
      <c r="B43" s="42">
        <v>6030000</v>
      </c>
      <c r="C43" s="111">
        <v>960000</v>
      </c>
      <c r="D43" s="117">
        <f t="shared" si="2"/>
        <v>6990000</v>
      </c>
    </row>
    <row r="44" spans="1:4">
      <c r="A44" s="116" t="s">
        <v>47</v>
      </c>
      <c r="B44" s="42">
        <v>4356658</v>
      </c>
      <c r="C44" s="111">
        <v>426060</v>
      </c>
      <c r="D44" s="117">
        <f t="shared" si="2"/>
        <v>4782718</v>
      </c>
    </row>
    <row r="45" spans="1:4">
      <c r="A45" s="116" t="s">
        <v>48</v>
      </c>
      <c r="B45" s="42">
        <v>27813000</v>
      </c>
      <c r="C45" s="111">
        <v>0</v>
      </c>
      <c r="D45" s="117">
        <f t="shared" si="2"/>
        <v>27813000</v>
      </c>
    </row>
    <row r="46" spans="1:4">
      <c r="A46" s="116" t="s">
        <v>49</v>
      </c>
      <c r="B46" s="42">
        <v>3816000</v>
      </c>
      <c r="C46" s="111">
        <v>405000</v>
      </c>
      <c r="D46" s="117">
        <f t="shared" si="2"/>
        <v>4221000</v>
      </c>
    </row>
    <row r="47" spans="1:4">
      <c r="A47" s="116" t="s">
        <v>50</v>
      </c>
      <c r="B47" s="42">
        <v>3974620</v>
      </c>
      <c r="C47" s="111">
        <v>0</v>
      </c>
      <c r="D47" s="117">
        <f t="shared" si="2"/>
        <v>3974620</v>
      </c>
    </row>
    <row r="48" spans="1:4">
      <c r="A48" s="116" t="s">
        <v>51</v>
      </c>
      <c r="B48" s="42">
        <v>68186000</v>
      </c>
      <c r="C48" s="111">
        <v>9220000</v>
      </c>
      <c r="D48" s="117">
        <f t="shared" si="2"/>
        <v>77406000</v>
      </c>
    </row>
    <row r="49" spans="1:4">
      <c r="A49" s="116" t="s">
        <v>52</v>
      </c>
      <c r="B49" s="42">
        <v>988000</v>
      </c>
      <c r="C49" s="111">
        <v>0</v>
      </c>
      <c r="D49" s="117">
        <f t="shared" si="2"/>
        <v>988000</v>
      </c>
    </row>
    <row r="50" spans="1:4">
      <c r="A50" s="116" t="s">
        <v>53</v>
      </c>
      <c r="B50" s="42">
        <v>13393900</v>
      </c>
      <c r="C50" s="111">
        <v>245000</v>
      </c>
      <c r="D50" s="117">
        <f t="shared" si="2"/>
        <v>13638900</v>
      </c>
    </row>
    <row r="51" spans="1:4">
      <c r="A51" s="116" t="s">
        <v>54</v>
      </c>
      <c r="B51" s="42">
        <v>2000000</v>
      </c>
      <c r="C51" s="111">
        <v>1788000</v>
      </c>
      <c r="D51" s="117">
        <f t="shared" si="2"/>
        <v>3788000</v>
      </c>
    </row>
    <row r="52" spans="1:4">
      <c r="A52" s="116" t="s">
        <v>55</v>
      </c>
      <c r="B52" s="42">
        <v>23593000</v>
      </c>
      <c r="C52" s="111">
        <v>2484000</v>
      </c>
      <c r="D52" s="117">
        <f t="shared" si="2"/>
        <v>26077000</v>
      </c>
    </row>
    <row r="53" spans="1:4">
      <c r="A53" s="116" t="s">
        <v>56</v>
      </c>
      <c r="B53" s="42">
        <v>3270200</v>
      </c>
      <c r="C53" s="111">
        <v>85000</v>
      </c>
      <c r="D53" s="117">
        <f t="shared" si="2"/>
        <v>3355200</v>
      </c>
    </row>
    <row r="54" spans="1:4">
      <c r="A54" s="116" t="s">
        <v>58</v>
      </c>
      <c r="B54" s="42">
        <v>95200000</v>
      </c>
      <c r="C54" s="111">
        <v>22330000</v>
      </c>
      <c r="D54" s="117">
        <f t="shared" si="2"/>
        <v>117530000</v>
      </c>
    </row>
    <row r="55" spans="1:4">
      <c r="A55" s="116" t="s">
        <v>59</v>
      </c>
      <c r="B55" s="42">
        <v>26566000</v>
      </c>
      <c r="C55" s="111">
        <v>3000000</v>
      </c>
      <c r="D55" s="117">
        <f t="shared" si="2"/>
        <v>29566000</v>
      </c>
    </row>
    <row r="56" spans="1:4">
      <c r="A56" s="116" t="s">
        <v>120</v>
      </c>
      <c r="B56" s="42">
        <v>18730225</v>
      </c>
      <c r="C56" s="111">
        <v>873100</v>
      </c>
      <c r="D56" s="117">
        <f t="shared" si="2"/>
        <v>19603325</v>
      </c>
    </row>
    <row r="57" spans="1:4">
      <c r="A57" s="116" t="s">
        <v>61</v>
      </c>
      <c r="B57" s="42">
        <v>112123150</v>
      </c>
      <c r="C57" s="111">
        <v>5175725</v>
      </c>
      <c r="D57" s="117">
        <f t="shared" si="2"/>
        <v>117298875</v>
      </c>
    </row>
    <row r="58" spans="1:4">
      <c r="A58" s="116" t="s">
        <v>60</v>
      </c>
      <c r="B58" s="42">
        <v>2101050</v>
      </c>
      <c r="C58" s="111">
        <v>0</v>
      </c>
      <c r="D58" s="117">
        <f t="shared" si="2"/>
        <v>2101050</v>
      </c>
    </row>
    <row r="59" spans="1:4">
      <c r="A59" s="116" t="s">
        <v>62</v>
      </c>
      <c r="B59" s="42">
        <v>0</v>
      </c>
      <c r="C59" s="111">
        <v>0</v>
      </c>
      <c r="D59" s="117">
        <f t="shared" si="2"/>
        <v>0</v>
      </c>
    </row>
    <row r="60" spans="1:4">
      <c r="A60" s="116" t="s">
        <v>63</v>
      </c>
      <c r="B60" s="42">
        <v>3241300</v>
      </c>
      <c r="C60" s="111">
        <v>0</v>
      </c>
      <c r="D60" s="117">
        <f t="shared" si="2"/>
        <v>3241300</v>
      </c>
    </row>
    <row r="61" spans="1:4">
      <c r="A61" s="116" t="s">
        <v>64</v>
      </c>
      <c r="B61" s="42">
        <v>1505000</v>
      </c>
      <c r="C61" s="111">
        <v>350000</v>
      </c>
      <c r="D61" s="117">
        <f t="shared" si="2"/>
        <v>1855000</v>
      </c>
    </row>
    <row r="62" spans="1:4">
      <c r="A62" s="116" t="s">
        <v>65</v>
      </c>
      <c r="B62" s="42">
        <v>16311900</v>
      </c>
      <c r="C62" s="111">
        <v>333000</v>
      </c>
      <c r="D62" s="117">
        <f t="shared" si="2"/>
        <v>16644900</v>
      </c>
    </row>
    <row r="63" spans="1:4">
      <c r="A63" s="116" t="s">
        <v>66</v>
      </c>
      <c r="B63" s="42">
        <v>5806808</v>
      </c>
      <c r="C63" s="111">
        <v>0</v>
      </c>
      <c r="D63" s="117">
        <f t="shared" si="2"/>
        <v>5806808</v>
      </c>
    </row>
    <row r="64" spans="1:4">
      <c r="A64" s="116" t="s">
        <v>67</v>
      </c>
      <c r="B64" s="42">
        <v>35537000</v>
      </c>
      <c r="C64" s="111">
        <v>2200000</v>
      </c>
      <c r="D64" s="117">
        <f t="shared" si="2"/>
        <v>37737000</v>
      </c>
    </row>
    <row r="65" spans="1:4">
      <c r="A65" s="116" t="s">
        <v>68</v>
      </c>
      <c r="B65" s="42">
        <v>11660000</v>
      </c>
      <c r="C65" s="111">
        <v>1310000</v>
      </c>
      <c r="D65" s="117">
        <f t="shared" si="2"/>
        <v>12970000</v>
      </c>
    </row>
    <row r="66" spans="1:4">
      <c r="A66" s="116" t="s">
        <v>69</v>
      </c>
      <c r="B66" s="42">
        <v>46173680</v>
      </c>
      <c r="C66" s="111">
        <v>3624760</v>
      </c>
      <c r="D66" s="117">
        <f t="shared" si="2"/>
        <v>49798440</v>
      </c>
    </row>
    <row r="67" spans="1:4">
      <c r="A67" s="116" t="s">
        <v>71</v>
      </c>
      <c r="B67" s="42">
        <v>18061850</v>
      </c>
      <c r="C67" s="111">
        <v>0</v>
      </c>
      <c r="D67" s="117">
        <f t="shared" si="2"/>
        <v>18061850</v>
      </c>
    </row>
    <row r="68" spans="1:4">
      <c r="A68" s="116" t="s">
        <v>72</v>
      </c>
      <c r="B68" s="42">
        <v>0</v>
      </c>
      <c r="C68" s="111">
        <v>0</v>
      </c>
      <c r="D68" s="117">
        <f t="shared" si="2"/>
        <v>0</v>
      </c>
    </row>
    <row r="69" spans="1:4">
      <c r="A69" s="116" t="s">
        <v>73</v>
      </c>
      <c r="B69" s="42">
        <v>17268010</v>
      </c>
      <c r="C69" s="111">
        <v>310020</v>
      </c>
      <c r="D69" s="117">
        <f t="shared" si="2"/>
        <v>17578030</v>
      </c>
    </row>
    <row r="70" spans="1:4">
      <c r="A70" s="116" t="s">
        <v>74</v>
      </c>
      <c r="B70" s="42">
        <v>56526155</v>
      </c>
      <c r="C70" s="111">
        <v>5100000</v>
      </c>
      <c r="D70" s="117">
        <f t="shared" si="2"/>
        <v>61626155</v>
      </c>
    </row>
    <row r="71" spans="1:4">
      <c r="A71" s="116" t="s">
        <v>75</v>
      </c>
      <c r="B71" s="42">
        <v>18959400</v>
      </c>
      <c r="C71" s="111">
        <v>1281000</v>
      </c>
      <c r="D71" s="117">
        <f t="shared" si="2"/>
        <v>20240400</v>
      </c>
    </row>
    <row r="72" spans="1:4">
      <c r="A72" s="116" t="s">
        <v>76</v>
      </c>
      <c r="B72" s="42">
        <v>0</v>
      </c>
      <c r="C72" s="111">
        <v>0</v>
      </c>
      <c r="D72" s="117">
        <f t="shared" si="2"/>
        <v>0</v>
      </c>
    </row>
    <row r="73" spans="1:4">
      <c r="A73" s="116" t="s">
        <v>77</v>
      </c>
      <c r="B73" s="42">
        <v>12872634</v>
      </c>
      <c r="C73" s="111">
        <v>0</v>
      </c>
      <c r="D73" s="117">
        <f t="shared" si="2"/>
        <v>12872634</v>
      </c>
    </row>
    <row r="74" spans="1:4">
      <c r="A74" s="116" t="s">
        <v>78</v>
      </c>
      <c r="B74" s="42">
        <v>255494939</v>
      </c>
      <c r="C74" s="111">
        <v>7139000</v>
      </c>
      <c r="D74" s="117">
        <f t="shared" si="2"/>
        <v>262633939</v>
      </c>
    </row>
    <row r="75" spans="1:4">
      <c r="A75" s="116" t="s">
        <v>79</v>
      </c>
      <c r="B75" s="42">
        <v>2912400</v>
      </c>
      <c r="C75" s="111">
        <v>80000</v>
      </c>
      <c r="D75" s="117">
        <f t="shared" si="2"/>
        <v>2992400</v>
      </c>
    </row>
    <row r="76" spans="1:4">
      <c r="A76" s="116" t="s">
        <v>80</v>
      </c>
      <c r="B76" s="42">
        <v>13638950</v>
      </c>
      <c r="C76" s="111">
        <v>1850000</v>
      </c>
      <c r="D76" s="117">
        <f t="shared" si="2"/>
        <v>15488950</v>
      </c>
    </row>
    <row r="77" spans="1:4">
      <c r="A77" s="116" t="s">
        <v>143</v>
      </c>
      <c r="B77" s="42">
        <v>18841750</v>
      </c>
      <c r="C77" s="111">
        <v>1779801</v>
      </c>
      <c r="D77" s="117">
        <f t="shared" si="2"/>
        <v>20621551</v>
      </c>
    </row>
    <row r="78" spans="1:4">
      <c r="A78" s="116" t="s">
        <v>119</v>
      </c>
      <c r="B78" s="42">
        <v>143240000</v>
      </c>
      <c r="C78" s="111">
        <v>55465000</v>
      </c>
      <c r="D78" s="117">
        <f t="shared" si="2"/>
        <v>198705000</v>
      </c>
    </row>
    <row r="79" spans="1:4" ht="16.3" thickBot="1">
      <c r="A79" s="27" t="s">
        <v>81</v>
      </c>
      <c r="B79" s="114">
        <f>ROUND(SUBTOTAL(9, B41:B78), 5)</f>
        <v>1171763261</v>
      </c>
      <c r="C79" s="114">
        <f>ROUND(SUBTOTAL(9, C41:C78), 5)</f>
        <v>133158516</v>
      </c>
      <c r="D79" s="123">
        <f t="shared" si="2"/>
        <v>1304921777</v>
      </c>
    </row>
    <row r="80" spans="1:4" s="3" customFormat="1" ht="16.3" thickTop="1">
      <c r="A80" s="6"/>
      <c r="B80" s="9"/>
      <c r="C80" s="9"/>
      <c r="D80" s="119"/>
    </row>
    <row r="81" spans="1:4">
      <c r="A81" s="124" t="s">
        <v>82</v>
      </c>
      <c r="B81" s="115">
        <f>(ROUND(B6+B38-B79, 5))</f>
        <v>848433360.48000002</v>
      </c>
      <c r="C81" s="115">
        <f>C38-C79</f>
        <v>86439669.370000005</v>
      </c>
      <c r="D81" s="115">
        <f>(ROUND((D6+D38)-D79, 5))</f>
        <v>938513882.22000003</v>
      </c>
    </row>
    <row r="82" spans="1:4">
      <c r="A82" s="126"/>
      <c r="D82" s="127"/>
    </row>
    <row r="83" spans="1:4">
      <c r="A83" s="14" t="s">
        <v>104</v>
      </c>
      <c r="B83" s="24"/>
      <c r="C83" s="24"/>
      <c r="D83" s="96"/>
    </row>
    <row r="84" spans="1:4">
      <c r="A84" s="21" t="s">
        <v>37</v>
      </c>
      <c r="B84" s="42">
        <v>-710006000</v>
      </c>
      <c r="C84" s="111">
        <v>-82500000</v>
      </c>
      <c r="D84" s="96">
        <f>B84+C84</f>
        <v>-792506000</v>
      </c>
    </row>
    <row r="85" spans="1:4">
      <c r="A85" s="21" t="s">
        <v>87</v>
      </c>
      <c r="B85" s="42">
        <v>-6196600</v>
      </c>
      <c r="C85" s="192"/>
      <c r="D85" s="96">
        <f>B85+C85</f>
        <v>-6196600</v>
      </c>
    </row>
    <row r="86" spans="1:4">
      <c r="A86" s="36" t="s">
        <v>88</v>
      </c>
      <c r="B86" s="42">
        <v>-6104600</v>
      </c>
      <c r="C86" s="192"/>
      <c r="D86" s="96">
        <f>B86+C86</f>
        <v>-6104600</v>
      </c>
    </row>
    <row r="87" spans="1:4">
      <c r="A87" s="36" t="s">
        <v>38</v>
      </c>
      <c r="B87" s="41">
        <f>VLOOKUP(A87,'September Financial Statement'!A85:D175,4,0)</f>
        <v>0</v>
      </c>
      <c r="C87" s="192"/>
      <c r="D87" s="96">
        <f>B87+C87</f>
        <v>0</v>
      </c>
    </row>
    <row r="88" spans="1:4">
      <c r="A88" s="128" t="s">
        <v>133</v>
      </c>
      <c r="B88" s="41"/>
      <c r="C88" s="192"/>
      <c r="D88" s="96">
        <f t="shared" ref="D88:D90" si="3">B88+C88</f>
        <v>0</v>
      </c>
    </row>
    <row r="89" spans="1:4">
      <c r="A89" s="128" t="s">
        <v>170</v>
      </c>
      <c r="B89" s="42">
        <v>868.88</v>
      </c>
      <c r="C89" s="192"/>
      <c r="D89" s="96">
        <f t="shared" si="3"/>
        <v>868.88</v>
      </c>
    </row>
    <row r="90" spans="1:4">
      <c r="A90" s="128" t="s">
        <v>171</v>
      </c>
      <c r="B90" s="42">
        <v>10734.8</v>
      </c>
      <c r="C90" s="111">
        <v>10734.8</v>
      </c>
      <c r="D90" s="96">
        <f t="shared" si="3"/>
        <v>21469.599999999999</v>
      </c>
    </row>
    <row r="91" spans="1:4">
      <c r="A91" s="128" t="s">
        <v>172</v>
      </c>
      <c r="B91" s="42">
        <v>2422.85</v>
      </c>
      <c r="C91" s="192">
        <v>1817.35</v>
      </c>
      <c r="D91" s="129">
        <f>B91+C91</f>
        <v>4240.2</v>
      </c>
    </row>
    <row r="92" spans="1:4">
      <c r="A92" s="36"/>
      <c r="B92" s="24"/>
      <c r="C92" s="24"/>
      <c r="D92" s="96"/>
    </row>
    <row r="93" spans="1:4">
      <c r="A93" s="32" t="s">
        <v>105</v>
      </c>
      <c r="B93" s="35">
        <f>B84+B85+B87+B86+B89+B90+B91</f>
        <v>-722293173.47000003</v>
      </c>
      <c r="C93" s="35">
        <f>C85+C86+C91+C84+C90</f>
        <v>-82487447.850000009</v>
      </c>
      <c r="D93" s="97">
        <f>SUM(D84:D91)</f>
        <v>-804780621.31999993</v>
      </c>
    </row>
    <row r="94" spans="1:4">
      <c r="A94" s="21"/>
      <c r="B94" s="24"/>
      <c r="C94" s="24"/>
      <c r="D94" s="96"/>
    </row>
    <row r="95" spans="1:4">
      <c r="A95" s="21"/>
      <c r="B95" s="24"/>
      <c r="C95" s="24"/>
      <c r="D95" s="96"/>
    </row>
    <row r="96" spans="1:4" ht="16.3" thickBot="1">
      <c r="A96" s="38" t="s">
        <v>106</v>
      </c>
      <c r="B96" s="108">
        <f>B81+B93</f>
        <v>126140187.00999999</v>
      </c>
      <c r="C96" s="40">
        <f>C81+C93</f>
        <v>3952221.5199999958</v>
      </c>
      <c r="D96" s="108">
        <f>D81+D93</f>
        <v>133733260.9000001</v>
      </c>
    </row>
    <row r="97" spans="1:4" ht="16.75" thickTop="1" thickBot="1">
      <c r="A97" s="7"/>
      <c r="B97" s="98"/>
      <c r="C97" s="98"/>
      <c r="D97" s="44"/>
    </row>
    <row r="98" spans="1:4">
      <c r="A98" s="130"/>
      <c r="B98" s="131"/>
      <c r="C98" s="131"/>
      <c r="D98" s="131"/>
    </row>
    <row r="99" spans="1:4">
      <c r="D99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899-0AC8-4D81-AA6D-F41333D604C5}">
  <sheetPr>
    <pageSetUpPr fitToPage="1"/>
  </sheetPr>
  <dimension ref="A1:D99"/>
  <sheetViews>
    <sheetView topLeftCell="A89" workbookViewId="0">
      <selection activeCell="D15" sqref="D15"/>
    </sheetView>
  </sheetViews>
  <sheetFormatPr defaultColWidth="9.3046875" defaultRowHeight="15.9"/>
  <cols>
    <col min="1" max="1" width="38" style="20" customWidth="1"/>
    <col min="2" max="3" width="21.69140625" style="20" customWidth="1"/>
    <col min="4" max="4" width="20.3046875" style="23" customWidth="1"/>
    <col min="5" max="16384" width="9.30468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45991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117</v>
      </c>
      <c r="D5" s="99" t="s">
        <v>130</v>
      </c>
    </row>
    <row r="6" spans="1:4">
      <c r="A6" s="116" t="s">
        <v>39</v>
      </c>
      <c r="B6" s="117">
        <v>81368906.109999999</v>
      </c>
      <c r="C6" s="182">
        <v>3939669.98</v>
      </c>
      <c r="D6" s="117">
        <f>B6+C6</f>
        <v>85308576.090000004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2">
        <v>2072940</v>
      </c>
      <c r="C8" s="111">
        <v>371430</v>
      </c>
      <c r="D8" s="117">
        <v>2444370</v>
      </c>
    </row>
    <row r="9" spans="1:4">
      <c r="A9" s="116" t="s">
        <v>10</v>
      </c>
      <c r="B9" s="42">
        <v>185078744</v>
      </c>
      <c r="C9" s="111">
        <v>16806275</v>
      </c>
      <c r="D9" s="117">
        <v>201885019</v>
      </c>
    </row>
    <row r="10" spans="1:4">
      <c r="A10" s="116" t="s">
        <v>11</v>
      </c>
      <c r="B10" s="42">
        <v>988278764</v>
      </c>
      <c r="C10" s="111">
        <v>49827146</v>
      </c>
      <c r="D10" s="117">
        <v>1038105910</v>
      </c>
    </row>
    <row r="11" spans="1:4">
      <c r="A11" s="116" t="s">
        <v>12</v>
      </c>
      <c r="B11" s="42">
        <v>655332209</v>
      </c>
      <c r="C11" s="111">
        <v>12416780</v>
      </c>
      <c r="D11" s="117">
        <v>667748989</v>
      </c>
    </row>
    <row r="12" spans="1:4">
      <c r="A12" s="116" t="s">
        <v>14</v>
      </c>
      <c r="B12" s="42">
        <v>15689858</v>
      </c>
      <c r="C12" s="111">
        <v>528521</v>
      </c>
      <c r="D12" s="117">
        <v>16218379</v>
      </c>
    </row>
    <row r="13" spans="1:4">
      <c r="A13" s="116" t="s">
        <v>132</v>
      </c>
      <c r="B13" s="42">
        <v>0</v>
      </c>
      <c r="C13" s="111">
        <v>0</v>
      </c>
      <c r="D13" s="117">
        <v>0</v>
      </c>
    </row>
    <row r="14" spans="1:4">
      <c r="A14" s="116" t="s">
        <v>15</v>
      </c>
      <c r="B14" s="42">
        <v>36018781</v>
      </c>
      <c r="C14" s="111">
        <v>3100275</v>
      </c>
      <c r="D14" s="117">
        <v>39119056</v>
      </c>
    </row>
    <row r="15" spans="1:4">
      <c r="A15" s="116" t="s">
        <v>16</v>
      </c>
      <c r="B15" s="42">
        <v>173409733</v>
      </c>
      <c r="C15" s="111">
        <v>14144976</v>
      </c>
      <c r="D15" s="117">
        <v>187554709</v>
      </c>
    </row>
    <row r="16" spans="1:4">
      <c r="A16" s="116" t="s">
        <v>17</v>
      </c>
      <c r="B16" s="42">
        <v>2000</v>
      </c>
      <c r="C16" s="111">
        <v>0</v>
      </c>
      <c r="D16" s="117">
        <v>2000</v>
      </c>
    </row>
    <row r="17" spans="1:4">
      <c r="A17" s="116" t="s">
        <v>21</v>
      </c>
      <c r="B17" s="42">
        <v>2577210</v>
      </c>
      <c r="C17" s="111">
        <v>365977</v>
      </c>
      <c r="D17" s="117">
        <v>2943187</v>
      </c>
    </row>
    <row r="18" spans="1:4">
      <c r="A18" s="116" t="s">
        <v>22</v>
      </c>
      <c r="B18" s="42">
        <v>4859000</v>
      </c>
      <c r="C18" s="111">
        <v>517000</v>
      </c>
      <c r="D18" s="117">
        <v>5376000</v>
      </c>
    </row>
    <row r="19" spans="1:4">
      <c r="A19" s="116" t="s">
        <v>174</v>
      </c>
      <c r="B19" s="42">
        <v>1401076</v>
      </c>
      <c r="C19" s="111">
        <v>339603</v>
      </c>
      <c r="D19" s="117">
        <v>1740679</v>
      </c>
    </row>
    <row r="20" spans="1:4">
      <c r="A20" s="116" t="s">
        <v>23</v>
      </c>
      <c r="B20" s="42"/>
      <c r="C20" s="111">
        <v>0</v>
      </c>
      <c r="D20" s="117">
        <v>1777736</v>
      </c>
    </row>
    <row r="21" spans="1:4">
      <c r="A21" s="116" t="s">
        <v>24</v>
      </c>
      <c r="B21" s="42">
        <v>8122874</v>
      </c>
      <c r="C21" s="111">
        <v>755500</v>
      </c>
      <c r="D21" s="117">
        <v>8878374</v>
      </c>
    </row>
    <row r="22" spans="1:4">
      <c r="A22" s="20" t="s">
        <v>173</v>
      </c>
      <c r="B22" s="201">
        <v>0</v>
      </c>
      <c r="C22" s="198">
        <v>300000</v>
      </c>
      <c r="D22" s="117">
        <v>300000</v>
      </c>
    </row>
    <row r="23" spans="1:4">
      <c r="A23" s="16" t="s">
        <v>41</v>
      </c>
      <c r="B23" s="112">
        <f>SUM(B6:B22)</f>
        <v>2154212095.1100001</v>
      </c>
      <c r="C23" s="112">
        <f>SUM(C6:C22)</f>
        <v>103413152.98</v>
      </c>
      <c r="D23" s="118">
        <f>SUM(D6:D22)</f>
        <v>2259402984.0900002</v>
      </c>
    </row>
    <row r="24" spans="1:4" s="3" customFormat="1">
      <c r="A24" s="4"/>
      <c r="B24" s="9"/>
      <c r="C24" s="9"/>
      <c r="D24" s="119"/>
    </row>
    <row r="25" spans="1:4" s="3" customFormat="1">
      <c r="A25" s="14" t="s">
        <v>42</v>
      </c>
      <c r="B25" s="9"/>
      <c r="C25" s="9"/>
      <c r="D25" s="119"/>
    </row>
    <row r="26" spans="1:4" s="3" customFormat="1">
      <c r="A26" s="120" t="s">
        <v>18</v>
      </c>
      <c r="B26" s="42">
        <v>0</v>
      </c>
      <c r="C26" s="111">
        <v>0</v>
      </c>
      <c r="D26" s="119">
        <f t="shared" ref="D26:D36" si="0">B26+C26</f>
        <v>0</v>
      </c>
    </row>
    <row r="27" spans="1:4" s="3" customFormat="1">
      <c r="A27" s="121" t="s">
        <v>26</v>
      </c>
      <c r="B27" s="42">
        <v>155200</v>
      </c>
      <c r="C27" s="111">
        <v>100700</v>
      </c>
      <c r="D27" s="122">
        <f t="shared" si="0"/>
        <v>255900</v>
      </c>
    </row>
    <row r="28" spans="1:4" s="3" customFormat="1">
      <c r="A28" s="121" t="s">
        <v>27</v>
      </c>
      <c r="B28" s="42">
        <v>430000</v>
      </c>
      <c r="C28" s="111">
        <v>170192</v>
      </c>
      <c r="D28" s="122">
        <f t="shared" si="0"/>
        <v>600192</v>
      </c>
    </row>
    <row r="29" spans="1:4" s="3" customFormat="1">
      <c r="A29" s="121" t="s">
        <v>28</v>
      </c>
      <c r="B29" s="42">
        <v>883000</v>
      </c>
      <c r="C29" s="111">
        <v>129000</v>
      </c>
      <c r="D29" s="122">
        <f t="shared" si="0"/>
        <v>1012000</v>
      </c>
    </row>
    <row r="30" spans="1:4" s="3" customFormat="1">
      <c r="A30" s="121" t="s">
        <v>29</v>
      </c>
      <c r="B30" s="42">
        <v>647617</v>
      </c>
      <c r="C30" s="111">
        <v>0</v>
      </c>
      <c r="D30" s="122">
        <f t="shared" si="0"/>
        <v>647617</v>
      </c>
    </row>
    <row r="31" spans="1:4" s="3" customFormat="1">
      <c r="A31" s="121" t="s">
        <v>30</v>
      </c>
      <c r="B31" s="42">
        <v>94047</v>
      </c>
      <c r="C31" s="111">
        <v>0</v>
      </c>
      <c r="D31" s="122">
        <f t="shared" si="0"/>
        <v>94047</v>
      </c>
    </row>
    <row r="32" spans="1:4" s="3" customFormat="1">
      <c r="A32" s="121" t="s">
        <v>31</v>
      </c>
      <c r="B32" s="42">
        <v>475300</v>
      </c>
      <c r="C32" s="111">
        <v>113000</v>
      </c>
      <c r="D32" s="122">
        <f t="shared" si="0"/>
        <v>588300</v>
      </c>
    </row>
    <row r="33" spans="1:4" s="3" customFormat="1">
      <c r="A33" s="121" t="s">
        <v>32</v>
      </c>
      <c r="B33" s="42">
        <v>464878</v>
      </c>
      <c r="C33" s="111">
        <v>0</v>
      </c>
      <c r="D33" s="122">
        <f t="shared" si="0"/>
        <v>464878</v>
      </c>
    </row>
    <row r="34" spans="1:4" s="3" customFormat="1">
      <c r="A34" s="121" t="s">
        <v>33</v>
      </c>
      <c r="B34" s="42">
        <v>559880</v>
      </c>
      <c r="C34" s="111">
        <v>49100</v>
      </c>
      <c r="D34" s="122">
        <f t="shared" si="0"/>
        <v>608980</v>
      </c>
    </row>
    <row r="35" spans="1:4" s="3" customFormat="1">
      <c r="A35" s="121" t="s">
        <v>34</v>
      </c>
      <c r="B35" s="42">
        <v>2325000</v>
      </c>
      <c r="C35" s="111">
        <v>190000</v>
      </c>
      <c r="D35" s="122">
        <f t="shared" si="0"/>
        <v>2515000</v>
      </c>
    </row>
    <row r="36" spans="1:4" s="3" customFormat="1">
      <c r="A36" s="121" t="s">
        <v>35</v>
      </c>
      <c r="B36" s="42">
        <v>42000</v>
      </c>
      <c r="C36" s="111">
        <v>21600</v>
      </c>
      <c r="D36" s="122">
        <f t="shared" si="0"/>
        <v>63600</v>
      </c>
    </row>
    <row r="37" spans="1:4" s="3" customFormat="1">
      <c r="A37" s="16" t="s">
        <v>43</v>
      </c>
      <c r="B37" s="11">
        <f>SUM(B26:B36)</f>
        <v>6076922</v>
      </c>
      <c r="C37" s="11">
        <f>SUM(C26:C36)</f>
        <v>773592</v>
      </c>
      <c r="D37" s="102">
        <f>SUM(D26:D36)</f>
        <v>6850514</v>
      </c>
    </row>
    <row r="38" spans="1:4" s="3" customFormat="1">
      <c r="A38" s="4"/>
      <c r="B38" s="9"/>
      <c r="C38" s="9"/>
      <c r="D38" s="119"/>
    </row>
    <row r="39" spans="1:4" s="3" customFormat="1">
      <c r="A39" s="17" t="s">
        <v>36</v>
      </c>
      <c r="B39" s="12">
        <f>B23+B37</f>
        <v>2160289017.1100001</v>
      </c>
      <c r="C39" s="12">
        <f>C23+C37</f>
        <v>104186744.98</v>
      </c>
      <c r="D39" s="103">
        <f>D23+D37</f>
        <v>2266253498.0900002</v>
      </c>
    </row>
    <row r="40" spans="1:4" s="3" customFormat="1">
      <c r="A40" s="4"/>
      <c r="B40" s="9"/>
      <c r="C40" s="9"/>
      <c r="D40" s="119"/>
    </row>
    <row r="41" spans="1:4" s="3" customFormat="1">
      <c r="A41" s="4"/>
      <c r="B41" s="9"/>
      <c r="C41" s="9"/>
      <c r="D41" s="119"/>
    </row>
    <row r="42" spans="1:4">
      <c r="A42" s="14" t="s">
        <v>44</v>
      </c>
      <c r="B42" s="22"/>
      <c r="C42" s="22"/>
      <c r="D42" s="96"/>
    </row>
    <row r="43" spans="1:4">
      <c r="A43" s="133" t="s">
        <v>45</v>
      </c>
      <c r="B43" s="42">
        <v>86913732</v>
      </c>
      <c r="C43" s="111">
        <v>8974672</v>
      </c>
      <c r="D43" s="117">
        <f t="shared" ref="D43:D80" si="1">B43+C43</f>
        <v>95888404</v>
      </c>
    </row>
    <row r="44" spans="1:4">
      <c r="A44" s="116" t="s">
        <v>46</v>
      </c>
      <c r="B44" s="42">
        <v>6990000</v>
      </c>
      <c r="C44" s="111">
        <v>0</v>
      </c>
      <c r="D44" s="117">
        <f t="shared" si="1"/>
        <v>6990000</v>
      </c>
    </row>
    <row r="45" spans="1:4">
      <c r="A45" s="116" t="s">
        <v>47</v>
      </c>
      <c r="B45" s="42">
        <v>4782718</v>
      </c>
      <c r="C45" s="111">
        <v>278835</v>
      </c>
      <c r="D45" s="117">
        <f t="shared" si="1"/>
        <v>5061553</v>
      </c>
    </row>
    <row r="46" spans="1:4">
      <c r="A46" s="116" t="s">
        <v>48</v>
      </c>
      <c r="B46" s="42">
        <v>27813000</v>
      </c>
      <c r="C46" s="111">
        <v>0</v>
      </c>
      <c r="D46" s="117">
        <f t="shared" si="1"/>
        <v>27813000</v>
      </c>
    </row>
    <row r="47" spans="1:4">
      <c r="A47" s="116" t="s">
        <v>49</v>
      </c>
      <c r="B47" s="42">
        <v>4221000</v>
      </c>
      <c r="C47" s="111">
        <v>530000</v>
      </c>
      <c r="D47" s="117">
        <f t="shared" si="1"/>
        <v>4751000</v>
      </c>
    </row>
    <row r="48" spans="1:4">
      <c r="A48" s="116" t="s">
        <v>50</v>
      </c>
      <c r="B48" s="42">
        <v>3974620</v>
      </c>
      <c r="C48" s="111">
        <v>845410</v>
      </c>
      <c r="D48" s="117">
        <f t="shared" si="1"/>
        <v>4820030</v>
      </c>
    </row>
    <row r="49" spans="1:4">
      <c r="A49" s="116" t="s">
        <v>51</v>
      </c>
      <c r="B49" s="42">
        <v>77406000</v>
      </c>
      <c r="C49" s="111">
        <v>6722500</v>
      </c>
      <c r="D49" s="117">
        <f t="shared" si="1"/>
        <v>84128500</v>
      </c>
    </row>
    <row r="50" spans="1:4">
      <c r="A50" s="116" t="s">
        <v>52</v>
      </c>
      <c r="B50" s="42">
        <v>988000</v>
      </c>
      <c r="C50" s="111">
        <v>200000</v>
      </c>
      <c r="D50" s="117">
        <f t="shared" si="1"/>
        <v>1188000</v>
      </c>
    </row>
    <row r="51" spans="1:4">
      <c r="A51" s="116" t="s">
        <v>53</v>
      </c>
      <c r="B51" s="42">
        <v>13638900</v>
      </c>
      <c r="C51" s="111">
        <v>1103900</v>
      </c>
      <c r="D51" s="117">
        <f t="shared" si="1"/>
        <v>14742800</v>
      </c>
    </row>
    <row r="52" spans="1:4">
      <c r="A52" s="116" t="s">
        <v>54</v>
      </c>
      <c r="B52" s="42">
        <v>3788000</v>
      </c>
      <c r="C52" s="111">
        <v>0</v>
      </c>
      <c r="D52" s="117">
        <f t="shared" si="1"/>
        <v>3788000</v>
      </c>
    </row>
    <row r="53" spans="1:4">
      <c r="A53" s="116" t="s">
        <v>55</v>
      </c>
      <c r="B53" s="42">
        <v>26077000</v>
      </c>
      <c r="C53" s="111">
        <v>2045000</v>
      </c>
      <c r="D53" s="117">
        <f t="shared" si="1"/>
        <v>28122000</v>
      </c>
    </row>
    <row r="54" spans="1:4">
      <c r="A54" s="116" t="s">
        <v>56</v>
      </c>
      <c r="B54" s="42">
        <v>3355200</v>
      </c>
      <c r="C54" s="111">
        <v>124000</v>
      </c>
      <c r="D54" s="117">
        <f t="shared" si="1"/>
        <v>3479200</v>
      </c>
    </row>
    <row r="55" spans="1:4">
      <c r="A55" s="116" t="s">
        <v>58</v>
      </c>
      <c r="B55" s="42">
        <v>117530000</v>
      </c>
      <c r="C55" s="111">
        <v>12000000</v>
      </c>
      <c r="D55" s="117">
        <f t="shared" si="1"/>
        <v>129530000</v>
      </c>
    </row>
    <row r="56" spans="1:4">
      <c r="A56" s="116" t="s">
        <v>59</v>
      </c>
      <c r="B56" s="42">
        <v>29566000</v>
      </c>
      <c r="C56" s="111">
        <v>0</v>
      </c>
      <c r="D56" s="117">
        <f t="shared" si="1"/>
        <v>29566000</v>
      </c>
    </row>
    <row r="57" spans="1:4">
      <c r="A57" s="116" t="s">
        <v>120</v>
      </c>
      <c r="B57" s="42">
        <v>19603325</v>
      </c>
      <c r="C57" s="111">
        <v>156500</v>
      </c>
      <c r="D57" s="117">
        <f t="shared" si="1"/>
        <v>19759825</v>
      </c>
    </row>
    <row r="58" spans="1:4">
      <c r="A58" s="116" t="s">
        <v>61</v>
      </c>
      <c r="B58" s="42">
        <v>117298875</v>
      </c>
      <c r="C58" s="111">
        <v>8310500</v>
      </c>
      <c r="D58" s="117">
        <f t="shared" si="1"/>
        <v>125609375</v>
      </c>
    </row>
    <row r="59" spans="1:4">
      <c r="A59" s="116" t="s">
        <v>60</v>
      </c>
      <c r="B59" s="42">
        <v>2101050</v>
      </c>
      <c r="C59" s="111">
        <v>0</v>
      </c>
      <c r="D59" s="117">
        <f t="shared" si="1"/>
        <v>2101050</v>
      </c>
    </row>
    <row r="60" spans="1:4">
      <c r="A60" s="116" t="s">
        <v>62</v>
      </c>
      <c r="B60" s="42">
        <v>0</v>
      </c>
      <c r="C60" s="111">
        <v>0</v>
      </c>
      <c r="D60" s="117">
        <f t="shared" si="1"/>
        <v>0</v>
      </c>
    </row>
    <row r="61" spans="1:4">
      <c r="A61" s="116" t="s">
        <v>63</v>
      </c>
      <c r="B61" s="42">
        <v>3241300</v>
      </c>
      <c r="C61" s="111">
        <v>117450</v>
      </c>
      <c r="D61" s="117">
        <f t="shared" si="1"/>
        <v>3358750</v>
      </c>
    </row>
    <row r="62" spans="1:4">
      <c r="A62" s="116" t="s">
        <v>64</v>
      </c>
      <c r="B62" s="42">
        <v>1855000</v>
      </c>
      <c r="C62" s="111">
        <v>350000</v>
      </c>
      <c r="D62" s="117">
        <f t="shared" si="1"/>
        <v>2205000</v>
      </c>
    </row>
    <row r="63" spans="1:4">
      <c r="A63" s="116" t="s">
        <v>65</v>
      </c>
      <c r="B63" s="42">
        <v>16644900</v>
      </c>
      <c r="C63" s="111">
        <v>4930000</v>
      </c>
      <c r="D63" s="117">
        <f t="shared" si="1"/>
        <v>21574900</v>
      </c>
    </row>
    <row r="64" spans="1:4">
      <c r="A64" s="116" t="s">
        <v>66</v>
      </c>
      <c r="B64" s="42">
        <v>5806808</v>
      </c>
      <c r="C64" s="111">
        <v>0</v>
      </c>
      <c r="D64" s="117">
        <f t="shared" si="1"/>
        <v>5806808</v>
      </c>
    </row>
    <row r="65" spans="1:4">
      <c r="A65" s="116" t="s">
        <v>67</v>
      </c>
      <c r="B65" s="42">
        <v>37737000</v>
      </c>
      <c r="C65" s="111">
        <v>1900000</v>
      </c>
      <c r="D65" s="117">
        <f t="shared" si="1"/>
        <v>39637000</v>
      </c>
    </row>
    <row r="66" spans="1:4">
      <c r="A66" s="116" t="s">
        <v>68</v>
      </c>
      <c r="B66" s="42">
        <v>12970000</v>
      </c>
      <c r="C66" s="111">
        <v>1440000</v>
      </c>
      <c r="D66" s="117">
        <f t="shared" si="1"/>
        <v>14410000</v>
      </c>
    </row>
    <row r="67" spans="1:4">
      <c r="A67" s="116" t="s">
        <v>69</v>
      </c>
      <c r="B67" s="42">
        <v>49798440</v>
      </c>
      <c r="C67" s="111">
        <v>3685200</v>
      </c>
      <c r="D67" s="117">
        <f t="shared" si="1"/>
        <v>53483640</v>
      </c>
    </row>
    <row r="68" spans="1:4">
      <c r="A68" s="116" t="s">
        <v>71</v>
      </c>
      <c r="B68" s="42">
        <v>18061850</v>
      </c>
      <c r="C68" s="111">
        <v>0</v>
      </c>
      <c r="D68" s="117">
        <f t="shared" si="1"/>
        <v>18061850</v>
      </c>
    </row>
    <row r="69" spans="1:4">
      <c r="A69" s="116" t="s">
        <v>72</v>
      </c>
      <c r="B69" s="42">
        <v>0</v>
      </c>
      <c r="C69" s="111">
        <v>0</v>
      </c>
      <c r="D69" s="117">
        <f t="shared" si="1"/>
        <v>0</v>
      </c>
    </row>
    <row r="70" spans="1:4">
      <c r="A70" s="116" t="s">
        <v>73</v>
      </c>
      <c r="B70" s="42">
        <v>17578030</v>
      </c>
      <c r="C70" s="111">
        <v>298040</v>
      </c>
      <c r="D70" s="117">
        <f t="shared" si="1"/>
        <v>17876070</v>
      </c>
    </row>
    <row r="71" spans="1:4">
      <c r="A71" s="116" t="s">
        <v>74</v>
      </c>
      <c r="B71" s="42">
        <v>61626155</v>
      </c>
      <c r="C71" s="111">
        <v>0</v>
      </c>
      <c r="D71" s="117">
        <f t="shared" si="1"/>
        <v>61626155</v>
      </c>
    </row>
    <row r="72" spans="1:4">
      <c r="A72" s="116" t="s">
        <v>75</v>
      </c>
      <c r="B72" s="42">
        <v>20240400</v>
      </c>
      <c r="C72" s="111">
        <v>1644000</v>
      </c>
      <c r="D72" s="117">
        <f t="shared" si="1"/>
        <v>21884400</v>
      </c>
    </row>
    <row r="73" spans="1:4">
      <c r="A73" s="116" t="s">
        <v>76</v>
      </c>
      <c r="B73" s="42">
        <v>0</v>
      </c>
      <c r="C73" s="111">
        <v>0</v>
      </c>
      <c r="D73" s="117">
        <f t="shared" si="1"/>
        <v>0</v>
      </c>
    </row>
    <row r="74" spans="1:4">
      <c r="A74" s="116" t="s">
        <v>77</v>
      </c>
      <c r="B74" s="42">
        <v>12872634</v>
      </c>
      <c r="C74" s="111">
        <v>455000</v>
      </c>
      <c r="D74" s="117">
        <f t="shared" si="1"/>
        <v>13327634</v>
      </c>
    </row>
    <row r="75" spans="1:4">
      <c r="A75" s="116" t="s">
        <v>78</v>
      </c>
      <c r="B75" s="42">
        <v>262633939</v>
      </c>
      <c r="C75" s="111">
        <v>14358000</v>
      </c>
      <c r="D75" s="117">
        <f t="shared" si="1"/>
        <v>276991939</v>
      </c>
    </row>
    <row r="76" spans="1:4">
      <c r="A76" s="116" t="s">
        <v>79</v>
      </c>
      <c r="B76" s="42">
        <v>2992400</v>
      </c>
      <c r="C76" s="111">
        <v>157000</v>
      </c>
      <c r="D76" s="117">
        <f t="shared" si="1"/>
        <v>3149400</v>
      </c>
    </row>
    <row r="77" spans="1:4">
      <c r="A77" s="116" t="s">
        <v>143</v>
      </c>
      <c r="B77" s="42">
        <v>15488950</v>
      </c>
      <c r="C77" s="111">
        <v>0</v>
      </c>
      <c r="D77" s="117">
        <f t="shared" si="1"/>
        <v>15488950</v>
      </c>
    </row>
    <row r="78" spans="1:4">
      <c r="A78" s="116" t="s">
        <v>80</v>
      </c>
      <c r="B78" s="42">
        <v>20621551</v>
      </c>
      <c r="C78" s="111">
        <v>0</v>
      </c>
      <c r="D78" s="117">
        <f t="shared" si="1"/>
        <v>20621551</v>
      </c>
    </row>
    <row r="79" spans="1:4">
      <c r="A79" s="116" t="s">
        <v>119</v>
      </c>
      <c r="B79" s="42">
        <v>198705000</v>
      </c>
      <c r="C79" s="111">
        <v>21000000</v>
      </c>
      <c r="D79" s="117">
        <f t="shared" si="1"/>
        <v>219705000</v>
      </c>
    </row>
    <row r="80" spans="1:4" ht="16.3" thickBot="1">
      <c r="A80" s="27" t="s">
        <v>81</v>
      </c>
      <c r="B80" s="114">
        <f>SUM(B43:B79)</f>
        <v>1304921777</v>
      </c>
      <c r="C80" s="114">
        <f>ROUND(SUBTOTAL(9, C42:C79), 5)</f>
        <v>91626007</v>
      </c>
      <c r="D80" s="123">
        <f t="shared" si="1"/>
        <v>1396547784</v>
      </c>
    </row>
    <row r="81" spans="1:4" s="3" customFormat="1" ht="16.3" thickTop="1">
      <c r="A81" s="6"/>
      <c r="B81" s="9"/>
      <c r="C81" s="9"/>
      <c r="D81" s="119"/>
    </row>
    <row r="82" spans="1:4">
      <c r="A82" s="124" t="s">
        <v>82</v>
      </c>
      <c r="B82" s="115">
        <f>B39-B80</f>
        <v>855367240.11000013</v>
      </c>
      <c r="C82" s="115">
        <f>C39-C80</f>
        <v>12560737.980000004</v>
      </c>
      <c r="D82" s="115">
        <f>D39-D80</f>
        <v>869705714.09000015</v>
      </c>
    </row>
    <row r="83" spans="1:4">
      <c r="A83" s="126"/>
      <c r="D83" s="127"/>
    </row>
    <row r="84" spans="1:4">
      <c r="A84" s="14" t="s">
        <v>104</v>
      </c>
      <c r="B84" s="24"/>
      <c r="C84" s="24"/>
      <c r="D84" s="96"/>
    </row>
    <row r="85" spans="1:4">
      <c r="A85" s="21" t="s">
        <v>37</v>
      </c>
      <c r="B85" s="42">
        <v>-792506000</v>
      </c>
      <c r="C85" s="111">
        <v>-7062500</v>
      </c>
      <c r="D85" s="96">
        <f>B85+C85</f>
        <v>-799568500</v>
      </c>
    </row>
    <row r="86" spans="1:4">
      <c r="A86" s="21" t="s">
        <v>87</v>
      </c>
      <c r="B86" s="42">
        <v>-6196600</v>
      </c>
      <c r="C86" s="192"/>
      <c r="D86" s="96">
        <f>B86+C86</f>
        <v>-6196600</v>
      </c>
    </row>
    <row r="87" spans="1:4">
      <c r="A87" s="36" t="s">
        <v>88</v>
      </c>
      <c r="B87" s="42">
        <v>-6104600</v>
      </c>
      <c r="C87" s="192"/>
      <c r="D87" s="96">
        <f>B87+C87</f>
        <v>-6104600</v>
      </c>
    </row>
    <row r="88" spans="1:4">
      <c r="A88" s="36" t="s">
        <v>38</v>
      </c>
      <c r="B88" s="42">
        <v>0</v>
      </c>
      <c r="C88" s="192"/>
      <c r="D88" s="96">
        <f>B88+C88</f>
        <v>0</v>
      </c>
    </row>
    <row r="89" spans="1:4">
      <c r="A89" s="128" t="s">
        <v>133</v>
      </c>
      <c r="B89" s="204"/>
      <c r="C89" s="192"/>
      <c r="D89" s="129">
        <f>B89+C89</f>
        <v>0</v>
      </c>
    </row>
    <row r="90" spans="1:4">
      <c r="A90" s="36" t="s">
        <v>177</v>
      </c>
      <c r="B90" s="42">
        <v>4240.2</v>
      </c>
      <c r="D90" s="129">
        <f t="shared" ref="D90:D92" si="2">B90+C90</f>
        <v>4240.2</v>
      </c>
    </row>
    <row r="91" spans="1:4">
      <c r="A91" s="36" t="s">
        <v>176</v>
      </c>
      <c r="B91" s="203"/>
      <c r="C91" s="192">
        <v>37750.519999999997</v>
      </c>
      <c r="D91" s="129">
        <f t="shared" si="2"/>
        <v>37750.519999999997</v>
      </c>
    </row>
    <row r="92" spans="1:4">
      <c r="A92" s="36" t="s">
        <v>178</v>
      </c>
      <c r="B92" s="205">
        <v>21469.599999999999</v>
      </c>
      <c r="C92" s="207">
        <v>22452.63</v>
      </c>
      <c r="D92" s="129">
        <f t="shared" si="2"/>
        <v>43922.229999999996</v>
      </c>
    </row>
    <row r="93" spans="1:4">
      <c r="A93" s="32" t="s">
        <v>105</v>
      </c>
      <c r="B93" s="206">
        <v>-804780621.32000005</v>
      </c>
      <c r="C93" s="192">
        <f>C86+C87+C92+C85+C91+C90</f>
        <v>-7002296.8500000006</v>
      </c>
      <c r="D93" s="97">
        <f>SUM(D85:D92)</f>
        <v>-811783787.04999995</v>
      </c>
    </row>
    <row r="94" spans="1:4">
      <c r="A94" s="21"/>
      <c r="C94" s="24"/>
      <c r="D94" s="96"/>
    </row>
    <row r="95" spans="1:4">
      <c r="A95" s="21"/>
      <c r="B95" s="41"/>
      <c r="C95" s="24"/>
      <c r="D95" s="96"/>
    </row>
    <row r="96" spans="1:4" ht="16.3" thickBot="1">
      <c r="A96" s="38" t="s">
        <v>106</v>
      </c>
      <c r="B96" s="166">
        <f>VLOOKUP(A96,'October Financial Statement'!A96:D180,4,0)</f>
        <v>133733260.9000001</v>
      </c>
      <c r="C96" s="40">
        <f>C82+C93</f>
        <v>5558441.1300000036</v>
      </c>
      <c r="D96" s="108">
        <f>D82+D93</f>
        <v>57921927.0400002</v>
      </c>
    </row>
    <row r="97" spans="1:4" ht="16.75" thickTop="1" thickBot="1">
      <c r="A97" s="7"/>
      <c r="B97" s="98"/>
      <c r="C97" s="98"/>
      <c r="D97" s="44"/>
    </row>
    <row r="98" spans="1:4">
      <c r="A98" s="130"/>
      <c r="B98" s="131"/>
      <c r="C98" s="131"/>
      <c r="D98" s="131"/>
    </row>
    <row r="99" spans="1:4">
      <c r="D99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5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B842-F4E9-4BB1-B636-B64DF3914F6D}">
  <sheetPr>
    <pageSetUpPr fitToPage="1"/>
  </sheetPr>
  <dimension ref="A1:D102"/>
  <sheetViews>
    <sheetView topLeftCell="A87" workbookViewId="0">
      <selection activeCell="C98" sqref="C98"/>
    </sheetView>
  </sheetViews>
  <sheetFormatPr defaultColWidth="9.3046875" defaultRowHeight="15.9"/>
  <cols>
    <col min="1" max="1" width="38" style="20" customWidth="1"/>
    <col min="2" max="3" width="21.69140625" style="20" customWidth="1"/>
    <col min="4" max="4" width="20.3046875" style="23" customWidth="1"/>
    <col min="5" max="16384" width="9.3046875" style="20"/>
  </cols>
  <sheetData>
    <row r="1" spans="1:4" ht="18" customHeight="1">
      <c r="A1" s="232" t="s">
        <v>126</v>
      </c>
      <c r="B1" s="232"/>
      <c r="C1" s="232"/>
      <c r="D1" s="232"/>
    </row>
    <row r="2" spans="1:4" ht="15.75" customHeight="1">
      <c r="A2" s="233" t="s">
        <v>127</v>
      </c>
      <c r="B2" s="233"/>
      <c r="C2" s="233"/>
      <c r="D2" s="233"/>
    </row>
    <row r="3" spans="1:4" ht="15.75" customHeight="1">
      <c r="A3" s="234">
        <v>46022</v>
      </c>
      <c r="B3" s="234"/>
      <c r="C3" s="234"/>
      <c r="D3" s="234"/>
    </row>
    <row r="4" spans="1:4" ht="15.75" customHeight="1" thickBot="1">
      <c r="A4" s="235"/>
      <c r="B4" s="235"/>
      <c r="C4" s="235"/>
      <c r="D4" s="235"/>
    </row>
    <row r="5" spans="1:4">
      <c r="A5" s="18" t="s">
        <v>128</v>
      </c>
      <c r="B5" s="19" t="s">
        <v>129</v>
      </c>
      <c r="C5" s="19" t="s">
        <v>118</v>
      </c>
      <c r="D5" s="99" t="s">
        <v>130</v>
      </c>
    </row>
    <row r="6" spans="1:4">
      <c r="A6" s="116" t="s">
        <v>39</v>
      </c>
      <c r="B6" s="117">
        <v>85321128.239999995</v>
      </c>
      <c r="C6" s="182">
        <v>5498237.0600000005</v>
      </c>
      <c r="D6" s="117">
        <f>B6+C6</f>
        <v>90819365.299999997</v>
      </c>
    </row>
    <row r="7" spans="1:4">
      <c r="A7" s="14" t="s">
        <v>131</v>
      </c>
      <c r="B7" s="22"/>
      <c r="C7" s="110"/>
      <c r="D7" s="117"/>
    </row>
    <row r="8" spans="1:4">
      <c r="A8" s="116" t="s">
        <v>9</v>
      </c>
      <c r="B8" s="42">
        <v>2444370</v>
      </c>
      <c r="C8" s="111">
        <v>331570</v>
      </c>
      <c r="D8" s="117">
        <f t="shared" ref="D8:D23" si="0">B8+C8</f>
        <v>2775940</v>
      </c>
    </row>
    <row r="9" spans="1:4">
      <c r="A9" s="116" t="s">
        <v>10</v>
      </c>
      <c r="B9" s="42">
        <v>201883019</v>
      </c>
      <c r="C9" s="111">
        <v>16478189</v>
      </c>
      <c r="D9" s="117">
        <f t="shared" si="0"/>
        <v>218361208</v>
      </c>
    </row>
    <row r="10" spans="1:4">
      <c r="A10" s="116" t="s">
        <v>11</v>
      </c>
      <c r="B10" s="42">
        <v>1038105910</v>
      </c>
      <c r="C10" s="111">
        <v>59953718</v>
      </c>
      <c r="D10" s="117">
        <f t="shared" si="0"/>
        <v>1098059628</v>
      </c>
    </row>
    <row r="11" spans="1:4">
      <c r="A11" s="116" t="s">
        <v>12</v>
      </c>
      <c r="B11" s="42">
        <v>667748989</v>
      </c>
      <c r="C11" s="111">
        <v>10710000</v>
      </c>
      <c r="D11" s="117">
        <f t="shared" si="0"/>
        <v>678458989</v>
      </c>
    </row>
    <row r="12" spans="1:4">
      <c r="A12" s="116" t="s">
        <v>14</v>
      </c>
      <c r="B12" s="42">
        <v>16218379</v>
      </c>
      <c r="C12" s="111">
        <v>380803</v>
      </c>
      <c r="D12" s="117">
        <f t="shared" si="0"/>
        <v>16599182</v>
      </c>
    </row>
    <row r="13" spans="1:4">
      <c r="A13" s="116" t="s">
        <v>132</v>
      </c>
      <c r="B13" s="42">
        <v>0</v>
      </c>
      <c r="C13" s="111">
        <v>0</v>
      </c>
      <c r="D13" s="117">
        <f t="shared" si="0"/>
        <v>0</v>
      </c>
    </row>
    <row r="14" spans="1:4">
      <c r="A14" s="116" t="s">
        <v>15</v>
      </c>
      <c r="B14" s="42">
        <v>39119056</v>
      </c>
      <c r="C14" s="111">
        <v>14756976</v>
      </c>
      <c r="D14" s="117">
        <f t="shared" si="0"/>
        <v>53876032</v>
      </c>
    </row>
    <row r="15" spans="1:4">
      <c r="A15" s="116" t="s">
        <v>16</v>
      </c>
      <c r="B15" s="42">
        <v>187534709</v>
      </c>
      <c r="C15" s="111">
        <v>31400509</v>
      </c>
      <c r="D15" s="117">
        <f t="shared" si="0"/>
        <v>218935218</v>
      </c>
    </row>
    <row r="16" spans="1:4">
      <c r="A16" s="116" t="s">
        <v>17</v>
      </c>
      <c r="B16" s="42">
        <v>2000</v>
      </c>
      <c r="C16" s="111">
        <v>0</v>
      </c>
      <c r="D16" s="117">
        <f t="shared" si="0"/>
        <v>2000</v>
      </c>
    </row>
    <row r="17" spans="1:4">
      <c r="A17" s="116" t="s">
        <v>21</v>
      </c>
      <c r="B17" s="42">
        <v>2943187</v>
      </c>
      <c r="C17" s="111">
        <v>477826</v>
      </c>
      <c r="D17" s="117">
        <f t="shared" si="0"/>
        <v>3421013</v>
      </c>
    </row>
    <row r="18" spans="1:4">
      <c r="A18" s="116" t="s">
        <v>22</v>
      </c>
      <c r="B18" s="42">
        <v>5376000</v>
      </c>
      <c r="C18" s="111">
        <v>1320000</v>
      </c>
      <c r="D18" s="117">
        <f t="shared" si="0"/>
        <v>6696000</v>
      </c>
    </row>
    <row r="19" spans="1:4">
      <c r="A19" s="116" t="s">
        <v>164</v>
      </c>
      <c r="B19" s="42">
        <v>1740679</v>
      </c>
      <c r="C19" s="111">
        <v>0</v>
      </c>
      <c r="D19" s="117">
        <f t="shared" si="0"/>
        <v>1740679</v>
      </c>
    </row>
    <row r="20" spans="1:4">
      <c r="A20" s="116" t="s">
        <v>23</v>
      </c>
      <c r="B20" s="42">
        <v>1777736</v>
      </c>
      <c r="C20" s="111">
        <v>184772</v>
      </c>
      <c r="D20" s="117">
        <f t="shared" si="0"/>
        <v>1962508</v>
      </c>
    </row>
    <row r="21" spans="1:4">
      <c r="A21" s="116" t="s">
        <v>24</v>
      </c>
      <c r="B21" s="42">
        <v>8878374</v>
      </c>
      <c r="C21" s="111">
        <v>1285900</v>
      </c>
      <c r="D21" s="117">
        <f>B21+C21</f>
        <v>10164274</v>
      </c>
    </row>
    <row r="22" spans="1:4">
      <c r="A22" s="20" t="s">
        <v>173</v>
      </c>
      <c r="B22" s="205">
        <v>300000</v>
      </c>
      <c r="C22" s="198">
        <v>1057000</v>
      </c>
      <c r="D22" s="117">
        <f>B22+C22</f>
        <v>1357000</v>
      </c>
    </row>
    <row r="23" spans="1:4">
      <c r="A23" s="16" t="s">
        <v>41</v>
      </c>
      <c r="B23" s="26">
        <f>SUM(B6:B22)</f>
        <v>2259393536.2399998</v>
      </c>
      <c r="C23" s="112">
        <f>SUM(C6:C22)</f>
        <v>143835500.06</v>
      </c>
      <c r="D23" s="118">
        <f t="shared" si="0"/>
        <v>2403229036.2999997</v>
      </c>
    </row>
    <row r="24" spans="1:4" s="3" customFormat="1">
      <c r="A24" s="4"/>
      <c r="B24" s="210"/>
      <c r="C24" s="9"/>
      <c r="D24" s="119"/>
    </row>
    <row r="25" spans="1:4" s="3" customFormat="1">
      <c r="A25" s="14" t="s">
        <v>42</v>
      </c>
      <c r="B25" s="9"/>
      <c r="C25" s="9"/>
      <c r="D25" s="119"/>
    </row>
    <row r="26" spans="1:4" s="3" customFormat="1">
      <c r="A26" s="120" t="s">
        <v>18</v>
      </c>
      <c r="B26" s="42">
        <v>0</v>
      </c>
      <c r="C26" s="111">
        <v>0</v>
      </c>
      <c r="D26" s="119">
        <f t="shared" ref="D26:D36" si="1">B26+C26</f>
        <v>0</v>
      </c>
    </row>
    <row r="27" spans="1:4" s="3" customFormat="1">
      <c r="A27" s="121" t="s">
        <v>26</v>
      </c>
      <c r="B27" s="42">
        <v>255900</v>
      </c>
      <c r="C27" s="111">
        <v>80700</v>
      </c>
      <c r="D27" s="122">
        <f t="shared" si="1"/>
        <v>336600</v>
      </c>
    </row>
    <row r="28" spans="1:4" s="3" customFormat="1">
      <c r="A28" s="121" t="s">
        <v>27</v>
      </c>
      <c r="B28" s="42">
        <v>600192</v>
      </c>
      <c r="C28" s="111">
        <v>200000</v>
      </c>
      <c r="D28" s="122">
        <f t="shared" si="1"/>
        <v>800192</v>
      </c>
    </row>
    <row r="29" spans="1:4" s="3" customFormat="1">
      <c r="A29" s="121" t="s">
        <v>28</v>
      </c>
      <c r="B29" s="42">
        <v>1012000</v>
      </c>
      <c r="C29" s="111">
        <v>118000</v>
      </c>
      <c r="D29" s="122">
        <f t="shared" si="1"/>
        <v>1130000</v>
      </c>
    </row>
    <row r="30" spans="1:4" s="3" customFormat="1">
      <c r="A30" s="121" t="s">
        <v>29</v>
      </c>
      <c r="B30" s="42">
        <v>647617</v>
      </c>
      <c r="C30" s="111">
        <v>78668</v>
      </c>
      <c r="D30" s="122">
        <f t="shared" si="1"/>
        <v>726285</v>
      </c>
    </row>
    <row r="31" spans="1:4" s="3" customFormat="1">
      <c r="A31" s="121" t="s">
        <v>30</v>
      </c>
      <c r="B31" s="42">
        <v>94047</v>
      </c>
      <c r="C31" s="111">
        <v>0</v>
      </c>
      <c r="D31" s="122">
        <f t="shared" si="1"/>
        <v>94047</v>
      </c>
    </row>
    <row r="32" spans="1:4" s="3" customFormat="1">
      <c r="A32" s="121" t="s">
        <v>31</v>
      </c>
      <c r="B32" s="42">
        <v>588300</v>
      </c>
      <c r="C32" s="111">
        <v>206000</v>
      </c>
      <c r="D32" s="122">
        <f t="shared" si="1"/>
        <v>794300</v>
      </c>
    </row>
    <row r="33" spans="1:4" s="3" customFormat="1">
      <c r="A33" s="121" t="s">
        <v>32</v>
      </c>
      <c r="B33" s="42">
        <v>464878</v>
      </c>
      <c r="C33" s="111">
        <v>0</v>
      </c>
      <c r="D33" s="122">
        <f t="shared" si="1"/>
        <v>464878</v>
      </c>
    </row>
    <row r="34" spans="1:4" s="3" customFormat="1">
      <c r="A34" s="121" t="s">
        <v>33</v>
      </c>
      <c r="B34" s="42">
        <v>608980</v>
      </c>
      <c r="C34" s="111">
        <v>85740</v>
      </c>
      <c r="D34" s="122">
        <f t="shared" si="1"/>
        <v>694720</v>
      </c>
    </row>
    <row r="35" spans="1:4" s="3" customFormat="1">
      <c r="A35" s="121" t="s">
        <v>34</v>
      </c>
      <c r="B35" s="42">
        <v>2515000</v>
      </c>
      <c r="C35" s="111">
        <v>110000</v>
      </c>
      <c r="D35" s="122">
        <f t="shared" si="1"/>
        <v>2625000</v>
      </c>
    </row>
    <row r="36" spans="1:4" s="3" customFormat="1">
      <c r="A36" s="121" t="s">
        <v>35</v>
      </c>
      <c r="B36" s="42">
        <v>63600</v>
      </c>
      <c r="C36" s="111">
        <v>46100</v>
      </c>
      <c r="D36" s="122">
        <f t="shared" si="1"/>
        <v>109700</v>
      </c>
    </row>
    <row r="37" spans="1:4" s="3" customFormat="1">
      <c r="A37" s="16" t="s">
        <v>43</v>
      </c>
      <c r="B37" s="11">
        <f>SUM(B26:B36)</f>
        <v>6850514</v>
      </c>
      <c r="C37" s="11">
        <f>SUM(C26:C36)</f>
        <v>925208</v>
      </c>
      <c r="D37" s="102">
        <f>SUM(D26:D36)</f>
        <v>7775722</v>
      </c>
    </row>
    <row r="38" spans="1:4" s="3" customFormat="1">
      <c r="A38" s="4"/>
      <c r="B38" s="9"/>
      <c r="C38" s="9"/>
      <c r="D38" s="119"/>
    </row>
    <row r="39" spans="1:4" s="3" customFormat="1">
      <c r="A39" s="17" t="s">
        <v>36</v>
      </c>
      <c r="B39" s="12">
        <f>B23+B37</f>
        <v>2266244050.2399998</v>
      </c>
      <c r="C39" s="12">
        <f>C23+C37</f>
        <v>144760708.06</v>
      </c>
      <c r="D39" s="103">
        <f>D23+D37</f>
        <v>2411004758.2999997</v>
      </c>
    </row>
    <row r="40" spans="1:4" s="3" customFormat="1">
      <c r="A40" s="4"/>
      <c r="B40" s="9"/>
      <c r="C40" s="9"/>
      <c r="D40" s="119"/>
    </row>
    <row r="41" spans="1:4" s="3" customFormat="1">
      <c r="A41" s="4"/>
      <c r="B41" s="9"/>
      <c r="C41" s="9"/>
      <c r="D41" s="119"/>
    </row>
    <row r="42" spans="1:4">
      <c r="A42" s="14" t="s">
        <v>44</v>
      </c>
      <c r="B42" s="22"/>
      <c r="C42" s="22"/>
      <c r="D42" s="96"/>
    </row>
    <row r="43" spans="1:4">
      <c r="A43" s="133" t="s">
        <v>45</v>
      </c>
      <c r="B43" s="42">
        <v>95888404</v>
      </c>
      <c r="C43" s="111">
        <v>4193000</v>
      </c>
      <c r="D43" s="117">
        <f t="shared" ref="D43:D80" si="2">B43+C43</f>
        <v>100081404</v>
      </c>
    </row>
    <row r="44" spans="1:4">
      <c r="A44" s="116" t="s">
        <v>46</v>
      </c>
      <c r="B44" s="42">
        <v>6990000</v>
      </c>
      <c r="C44" s="111">
        <v>0</v>
      </c>
      <c r="D44" s="117">
        <f t="shared" si="2"/>
        <v>6990000</v>
      </c>
    </row>
    <row r="45" spans="1:4">
      <c r="A45" s="116" t="s">
        <v>47</v>
      </c>
      <c r="B45" s="42">
        <v>5061553</v>
      </c>
      <c r="C45" s="111">
        <v>394433</v>
      </c>
      <c r="D45" s="117">
        <f t="shared" si="2"/>
        <v>5455986</v>
      </c>
    </row>
    <row r="46" spans="1:4">
      <c r="A46" s="116" t="s">
        <v>48</v>
      </c>
      <c r="B46" s="42">
        <v>27813000</v>
      </c>
      <c r="C46" s="111">
        <v>0</v>
      </c>
      <c r="D46" s="117">
        <f t="shared" si="2"/>
        <v>27813000</v>
      </c>
    </row>
    <row r="47" spans="1:4">
      <c r="A47" s="116" t="s">
        <v>49</v>
      </c>
      <c r="B47" s="42">
        <v>4751000</v>
      </c>
      <c r="C47" s="111">
        <v>441000</v>
      </c>
      <c r="D47" s="117">
        <f t="shared" si="2"/>
        <v>5192000</v>
      </c>
    </row>
    <row r="48" spans="1:4">
      <c r="A48" s="116" t="s">
        <v>50</v>
      </c>
      <c r="B48" s="42">
        <v>4820030</v>
      </c>
      <c r="C48" s="111">
        <v>348340</v>
      </c>
      <c r="D48" s="117">
        <f t="shared" si="2"/>
        <v>5168370</v>
      </c>
    </row>
    <row r="49" spans="1:4">
      <c r="A49" s="116" t="s">
        <v>51</v>
      </c>
      <c r="B49" s="42">
        <v>84128500</v>
      </c>
      <c r="C49" s="111">
        <v>8720000</v>
      </c>
      <c r="D49" s="117">
        <f t="shared" si="2"/>
        <v>92848500</v>
      </c>
    </row>
    <row r="50" spans="1:4">
      <c r="A50" s="116" t="s">
        <v>52</v>
      </c>
      <c r="B50" s="42">
        <v>1188000</v>
      </c>
      <c r="C50" s="111">
        <v>150000</v>
      </c>
      <c r="D50" s="117">
        <f t="shared" si="2"/>
        <v>1338000</v>
      </c>
    </row>
    <row r="51" spans="1:4">
      <c r="A51" s="116" t="s">
        <v>53</v>
      </c>
      <c r="B51" s="42">
        <v>14742800</v>
      </c>
      <c r="C51" s="111">
        <v>180000</v>
      </c>
      <c r="D51" s="117">
        <f t="shared" si="2"/>
        <v>14922800</v>
      </c>
    </row>
    <row r="52" spans="1:4">
      <c r="A52" s="116" t="s">
        <v>54</v>
      </c>
      <c r="B52" s="42">
        <v>3788000</v>
      </c>
      <c r="C52" s="111">
        <v>0</v>
      </c>
      <c r="D52" s="117">
        <f t="shared" si="2"/>
        <v>3788000</v>
      </c>
    </row>
    <row r="53" spans="1:4">
      <c r="A53" s="116" t="s">
        <v>55</v>
      </c>
      <c r="B53" s="42">
        <v>28122000</v>
      </c>
      <c r="C53" s="111">
        <v>2226000</v>
      </c>
      <c r="D53" s="117">
        <f t="shared" si="2"/>
        <v>30348000</v>
      </c>
    </row>
    <row r="54" spans="1:4">
      <c r="A54" s="116" t="s">
        <v>56</v>
      </c>
      <c r="B54" s="42">
        <v>3479200</v>
      </c>
      <c r="C54" s="111">
        <v>0</v>
      </c>
      <c r="D54" s="117">
        <f t="shared" si="2"/>
        <v>3479200</v>
      </c>
    </row>
    <row r="55" spans="1:4">
      <c r="A55" s="116" t="s">
        <v>58</v>
      </c>
      <c r="B55" s="42">
        <v>129530000</v>
      </c>
      <c r="C55" s="111">
        <v>7745000</v>
      </c>
      <c r="D55" s="117">
        <f t="shared" si="2"/>
        <v>137275000</v>
      </c>
    </row>
    <row r="56" spans="1:4">
      <c r="A56" s="116" t="s">
        <v>59</v>
      </c>
      <c r="B56" s="42">
        <v>29566000</v>
      </c>
      <c r="C56" s="111">
        <v>500000</v>
      </c>
      <c r="D56" s="117">
        <f t="shared" si="2"/>
        <v>30066000</v>
      </c>
    </row>
    <row r="57" spans="1:4">
      <c r="A57" s="116" t="s">
        <v>120</v>
      </c>
      <c r="B57" s="42">
        <v>19759825</v>
      </c>
      <c r="C57" s="111">
        <v>425000</v>
      </c>
      <c r="D57" s="117">
        <f t="shared" si="2"/>
        <v>20184825</v>
      </c>
    </row>
    <row r="58" spans="1:4">
      <c r="A58" s="116" t="s">
        <v>61</v>
      </c>
      <c r="B58" s="42">
        <v>125609375</v>
      </c>
      <c r="C58" s="111">
        <v>10552000</v>
      </c>
      <c r="D58" s="117">
        <f t="shared" si="2"/>
        <v>136161375</v>
      </c>
    </row>
    <row r="59" spans="1:4">
      <c r="A59" s="116" t="s">
        <v>60</v>
      </c>
      <c r="B59" s="42">
        <v>2101050</v>
      </c>
      <c r="C59" s="111">
        <v>0</v>
      </c>
      <c r="D59" s="117">
        <f t="shared" si="2"/>
        <v>2101050</v>
      </c>
    </row>
    <row r="60" spans="1:4">
      <c r="A60" s="116" t="s">
        <v>62</v>
      </c>
      <c r="B60" s="42">
        <v>0</v>
      </c>
      <c r="C60" s="111">
        <v>0</v>
      </c>
      <c r="D60" s="117">
        <f t="shared" si="2"/>
        <v>0</v>
      </c>
    </row>
    <row r="61" spans="1:4">
      <c r="A61" s="116" t="s">
        <v>63</v>
      </c>
      <c r="B61" s="42">
        <v>3358750</v>
      </c>
      <c r="C61" s="111">
        <v>661670</v>
      </c>
      <c r="D61" s="117">
        <f t="shared" si="2"/>
        <v>4020420</v>
      </c>
    </row>
    <row r="62" spans="1:4">
      <c r="A62" s="116" t="s">
        <v>64</v>
      </c>
      <c r="B62" s="42">
        <v>2205000</v>
      </c>
      <c r="C62" s="111">
        <v>350000</v>
      </c>
      <c r="D62" s="117">
        <f t="shared" si="2"/>
        <v>2555000</v>
      </c>
    </row>
    <row r="63" spans="1:4">
      <c r="A63" s="116" t="s">
        <v>65</v>
      </c>
      <c r="B63" s="42">
        <v>21574900</v>
      </c>
      <c r="C63" s="111">
        <v>654000</v>
      </c>
      <c r="D63" s="117">
        <f t="shared" si="2"/>
        <v>22228900</v>
      </c>
    </row>
    <row r="64" spans="1:4">
      <c r="A64" s="116" t="s">
        <v>66</v>
      </c>
      <c r="B64" s="42">
        <v>5806808</v>
      </c>
      <c r="C64" s="111">
        <v>0</v>
      </c>
      <c r="D64" s="117">
        <f t="shared" si="2"/>
        <v>5806808</v>
      </c>
    </row>
    <row r="65" spans="1:4">
      <c r="A65" s="116" t="s">
        <v>67</v>
      </c>
      <c r="B65" s="42">
        <v>39637000</v>
      </c>
      <c r="C65" s="111">
        <v>5540000</v>
      </c>
      <c r="D65" s="117">
        <f t="shared" si="2"/>
        <v>45177000</v>
      </c>
    </row>
    <row r="66" spans="1:4">
      <c r="A66" s="116" t="s">
        <v>68</v>
      </c>
      <c r="B66" s="42">
        <v>14410000</v>
      </c>
      <c r="C66" s="111">
        <v>0</v>
      </c>
      <c r="D66" s="117">
        <f t="shared" si="2"/>
        <v>14410000</v>
      </c>
    </row>
    <row r="67" spans="1:4">
      <c r="A67" s="116" t="s">
        <v>69</v>
      </c>
      <c r="B67" s="42">
        <v>53483640</v>
      </c>
      <c r="C67" s="111">
        <v>6938860</v>
      </c>
      <c r="D67" s="117">
        <f t="shared" si="2"/>
        <v>60422500</v>
      </c>
    </row>
    <row r="68" spans="1:4">
      <c r="A68" s="116" t="s">
        <v>71</v>
      </c>
      <c r="B68" s="42">
        <v>18061850</v>
      </c>
      <c r="C68" s="111">
        <v>0</v>
      </c>
      <c r="D68" s="117">
        <f t="shared" si="2"/>
        <v>18061850</v>
      </c>
    </row>
    <row r="69" spans="1:4">
      <c r="A69" s="116" t="s">
        <v>72</v>
      </c>
      <c r="B69" s="42">
        <v>0</v>
      </c>
      <c r="C69" s="111">
        <v>0</v>
      </c>
      <c r="D69" s="117">
        <f t="shared" si="2"/>
        <v>0</v>
      </c>
    </row>
    <row r="70" spans="1:4">
      <c r="A70" s="116" t="s">
        <v>73</v>
      </c>
      <c r="B70" s="42">
        <v>17876070</v>
      </c>
      <c r="C70" s="111">
        <v>0</v>
      </c>
      <c r="D70" s="117">
        <f t="shared" si="2"/>
        <v>17876070</v>
      </c>
    </row>
    <row r="71" spans="1:4">
      <c r="A71" s="116" t="s">
        <v>74</v>
      </c>
      <c r="B71" s="42">
        <v>61626155</v>
      </c>
      <c r="C71" s="111">
        <v>22420000</v>
      </c>
      <c r="D71" s="117">
        <f t="shared" si="2"/>
        <v>84046155</v>
      </c>
    </row>
    <row r="72" spans="1:4">
      <c r="A72" s="116" t="s">
        <v>75</v>
      </c>
      <c r="B72" s="42">
        <v>21884400</v>
      </c>
      <c r="C72" s="111">
        <v>1844000</v>
      </c>
      <c r="D72" s="117">
        <f t="shared" si="2"/>
        <v>23728400</v>
      </c>
    </row>
    <row r="73" spans="1:4">
      <c r="A73" s="116" t="s">
        <v>76</v>
      </c>
      <c r="B73" s="42">
        <v>0</v>
      </c>
      <c r="C73" s="111">
        <v>0</v>
      </c>
      <c r="D73" s="117">
        <f t="shared" si="2"/>
        <v>0</v>
      </c>
    </row>
    <row r="74" spans="1:4">
      <c r="A74" s="116" t="s">
        <v>77</v>
      </c>
      <c r="B74" s="42">
        <v>13327634</v>
      </c>
      <c r="C74" s="111">
        <v>781000</v>
      </c>
      <c r="D74" s="117">
        <f t="shared" si="2"/>
        <v>14108634</v>
      </c>
    </row>
    <row r="75" spans="1:4">
      <c r="A75" s="116" t="s">
        <v>78</v>
      </c>
      <c r="B75" s="42">
        <v>276991939</v>
      </c>
      <c r="C75" s="111">
        <v>47349200</v>
      </c>
      <c r="D75" s="117">
        <f t="shared" si="2"/>
        <v>324341139</v>
      </c>
    </row>
    <row r="76" spans="1:4">
      <c r="A76" s="116" t="s">
        <v>79</v>
      </c>
      <c r="B76" s="42">
        <v>3149400</v>
      </c>
      <c r="C76" s="111">
        <v>0</v>
      </c>
      <c r="D76" s="117">
        <f t="shared" si="2"/>
        <v>3149400</v>
      </c>
    </row>
    <row r="77" spans="1:4">
      <c r="A77" s="116" t="s">
        <v>143</v>
      </c>
      <c r="B77" s="42">
        <v>15488950</v>
      </c>
      <c r="C77" s="111">
        <v>1680000</v>
      </c>
      <c r="D77" s="117">
        <f t="shared" si="2"/>
        <v>17168950</v>
      </c>
    </row>
    <row r="78" spans="1:4">
      <c r="A78" s="116" t="s">
        <v>80</v>
      </c>
      <c r="B78" s="42">
        <v>20621551</v>
      </c>
      <c r="C78" s="111">
        <v>2360000</v>
      </c>
      <c r="D78" s="117">
        <f t="shared" si="2"/>
        <v>22981551</v>
      </c>
    </row>
    <row r="79" spans="1:4">
      <c r="A79" s="116" t="s">
        <v>119</v>
      </c>
      <c r="B79" s="42">
        <v>219705000</v>
      </c>
      <c r="C79" s="111">
        <v>0</v>
      </c>
      <c r="D79" s="117">
        <f t="shared" si="2"/>
        <v>219705000</v>
      </c>
    </row>
    <row r="80" spans="1:4" ht="16.3" thickBot="1">
      <c r="A80" s="27" t="s">
        <v>81</v>
      </c>
      <c r="B80" s="114">
        <f>SUM(B43:B79)</f>
        <v>1396547784</v>
      </c>
      <c r="C80" s="114">
        <f>ROUND(SUBTOTAL(9, C42:C79), 5)</f>
        <v>126453503</v>
      </c>
      <c r="D80" s="123">
        <f t="shared" si="2"/>
        <v>1523001287</v>
      </c>
    </row>
    <row r="81" spans="1:4" s="3" customFormat="1" ht="16.3" thickTop="1">
      <c r="A81" s="6"/>
      <c r="B81" s="9"/>
      <c r="C81" s="9"/>
      <c r="D81" s="119"/>
    </row>
    <row r="82" spans="1:4">
      <c r="A82" s="124" t="s">
        <v>82</v>
      </c>
      <c r="B82" s="115">
        <f>B39-B80</f>
        <v>869696266.23999977</v>
      </c>
      <c r="C82" s="115">
        <f>C39-C80</f>
        <v>18307205.060000002</v>
      </c>
      <c r="D82" s="115">
        <f>SUM(B82:C82)</f>
        <v>888003471.29999971</v>
      </c>
    </row>
    <row r="83" spans="1:4">
      <c r="A83" s="126"/>
      <c r="D83" s="127"/>
    </row>
    <row r="84" spans="1:4">
      <c r="A84" s="14" t="s">
        <v>104</v>
      </c>
      <c r="B84" s="24"/>
      <c r="C84" s="24"/>
      <c r="D84" s="96"/>
    </row>
    <row r="85" spans="1:4">
      <c r="A85" s="21" t="s">
        <v>37</v>
      </c>
      <c r="B85" s="42">
        <v>-799568500</v>
      </c>
      <c r="C85" s="182">
        <v>-11062500</v>
      </c>
      <c r="D85" s="96">
        <f t="shared" ref="D85:D90" si="3">B85+C85</f>
        <v>-810631000</v>
      </c>
    </row>
    <row r="86" spans="1:4">
      <c r="A86" s="21" t="s">
        <v>87</v>
      </c>
      <c r="B86" s="42">
        <v>-6196600</v>
      </c>
      <c r="C86" s="42"/>
      <c r="D86" s="96">
        <f t="shared" si="3"/>
        <v>-6196600</v>
      </c>
    </row>
    <row r="87" spans="1:4">
      <c r="A87" s="36" t="s">
        <v>88</v>
      </c>
      <c r="B87" s="42">
        <v>-6104600</v>
      </c>
      <c r="C87" s="42"/>
      <c r="D87" s="96">
        <f t="shared" si="3"/>
        <v>-6104600</v>
      </c>
    </row>
    <row r="88" spans="1:4">
      <c r="A88" s="36" t="s">
        <v>38</v>
      </c>
      <c r="B88" s="42">
        <v>0</v>
      </c>
      <c r="C88" s="42"/>
      <c r="D88" s="96">
        <f t="shared" si="3"/>
        <v>0</v>
      </c>
    </row>
    <row r="89" spans="1:4">
      <c r="A89" s="21" t="s">
        <v>133</v>
      </c>
      <c r="B89" s="42">
        <v>0</v>
      </c>
      <c r="C89" s="42"/>
      <c r="D89" s="96">
        <f t="shared" si="3"/>
        <v>0</v>
      </c>
    </row>
    <row r="90" spans="1:4">
      <c r="A90" s="128" t="s">
        <v>121</v>
      </c>
      <c r="B90" s="43">
        <v>0</v>
      </c>
      <c r="C90" s="43"/>
      <c r="D90" s="129">
        <f t="shared" si="3"/>
        <v>0</v>
      </c>
    </row>
    <row r="91" spans="1:4">
      <c r="A91" s="36" t="s">
        <v>176</v>
      </c>
      <c r="B91" s="42">
        <v>37750.519999999997</v>
      </c>
      <c r="C91" s="42"/>
      <c r="D91" s="117">
        <v>37750.519999999997</v>
      </c>
    </row>
    <row r="92" spans="1:4">
      <c r="A92" s="36" t="s">
        <v>171</v>
      </c>
      <c r="B92" s="42">
        <v>43922.229999999996</v>
      </c>
      <c r="C92" s="42"/>
      <c r="D92" s="117">
        <v>43922.229999999996</v>
      </c>
    </row>
    <row r="93" spans="1:4">
      <c r="A93" s="36" t="s">
        <v>172</v>
      </c>
      <c r="B93" s="42">
        <v>4240.2</v>
      </c>
      <c r="C93" s="42"/>
      <c r="D93" s="117">
        <v>4240.2</v>
      </c>
    </row>
    <row r="94" spans="1:4">
      <c r="A94" s="36"/>
      <c r="B94" s="24"/>
      <c r="C94" s="24"/>
      <c r="D94" s="96"/>
    </row>
    <row r="95" spans="1:4">
      <c r="A95" s="32" t="s">
        <v>105</v>
      </c>
      <c r="B95" s="35">
        <f>B86+B87+B89+B85+B93+B91+B92</f>
        <v>-811783787.04999995</v>
      </c>
      <c r="C95" s="35">
        <f>C86+C87+C89+C85+C90</f>
        <v>-11062500</v>
      </c>
      <c r="D95" s="97">
        <f>SUM(D85:D93)</f>
        <v>-822846287.04999995</v>
      </c>
    </row>
    <row r="96" spans="1:4">
      <c r="A96" s="21"/>
      <c r="B96" s="24"/>
      <c r="C96" s="24"/>
      <c r="D96" s="96"/>
    </row>
    <row r="97" spans="1:4">
      <c r="A97" s="21"/>
      <c r="B97" s="24"/>
      <c r="C97" s="24"/>
      <c r="D97" s="96"/>
    </row>
    <row r="98" spans="1:4" ht="16.3" thickBot="1">
      <c r="A98" s="38" t="s">
        <v>106</v>
      </c>
      <c r="B98" s="40">
        <f>B82+B95</f>
        <v>57912479.189999819</v>
      </c>
      <c r="C98" s="40">
        <f>C82+C95</f>
        <v>7244705.0600000024</v>
      </c>
      <c r="D98" s="108">
        <f>D82+D95</f>
        <v>65157184.249999762</v>
      </c>
    </row>
    <row r="99" spans="1:4" ht="16.75" thickTop="1" thickBot="1">
      <c r="A99" s="7"/>
      <c r="B99" s="98"/>
      <c r="C99" s="98"/>
      <c r="D99" s="44"/>
    </row>
    <row r="100" spans="1:4">
      <c r="A100" s="130"/>
      <c r="B100" s="131"/>
      <c r="C100" s="131"/>
      <c r="D100" s="131"/>
    </row>
    <row r="101" spans="1:4">
      <c r="D101" s="20"/>
    </row>
    <row r="102" spans="1:4">
      <c r="C102" s="168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85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4C08-B95C-4FF2-83AD-EC99B5CD1D87}">
  <dimension ref="A1:B10"/>
  <sheetViews>
    <sheetView workbookViewId="0">
      <selection activeCell="A3" sqref="A3"/>
    </sheetView>
  </sheetViews>
  <sheetFormatPr defaultColWidth="9.15234375" defaultRowHeight="26.15"/>
  <cols>
    <col min="1" max="1" width="54.53515625" style="171" bestFit="1" customWidth="1"/>
    <col min="2" max="2" width="29.3828125" style="177" bestFit="1" customWidth="1"/>
    <col min="3" max="16384" width="9.15234375" style="171"/>
  </cols>
  <sheetData>
    <row r="1" spans="1:2" ht="51.75" customHeight="1">
      <c r="A1" s="236" t="s">
        <v>126</v>
      </c>
      <c r="B1" s="236"/>
    </row>
    <row r="2" spans="1:2">
      <c r="A2" s="237" t="s">
        <v>158</v>
      </c>
      <c r="B2" s="237"/>
    </row>
    <row r="4" spans="1:2">
      <c r="A4" s="178" t="s">
        <v>147</v>
      </c>
      <c r="B4" s="179" t="s">
        <v>148</v>
      </c>
    </row>
    <row r="5" spans="1:2">
      <c r="A5" s="172" t="s">
        <v>149</v>
      </c>
      <c r="B5" s="173">
        <v>103782200</v>
      </c>
    </row>
    <row r="6" spans="1:2">
      <c r="A6" s="174" t="s">
        <v>150</v>
      </c>
      <c r="B6" s="175">
        <v>18640000</v>
      </c>
    </row>
    <row r="7" spans="1:2">
      <c r="A7" s="174" t="s">
        <v>151</v>
      </c>
      <c r="B7" s="175">
        <v>15600000</v>
      </c>
    </row>
    <row r="8" spans="1:2">
      <c r="A8" s="174" t="s">
        <v>152</v>
      </c>
      <c r="B8" s="175">
        <v>27200000</v>
      </c>
    </row>
    <row r="9" spans="1:2">
      <c r="A9" s="174" t="s">
        <v>153</v>
      </c>
      <c r="B9" s="175">
        <v>6292000</v>
      </c>
    </row>
    <row r="10" spans="1:2">
      <c r="A10" s="170" t="s">
        <v>102</v>
      </c>
      <c r="B10" s="176">
        <f>SUM(B5:B9)</f>
        <v>171514200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1401F0-3DD0-4ABD-82C2-B6D6257D92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6</vt:i4>
      </vt:variant>
    </vt:vector>
  </HeadingPairs>
  <TitlesOfParts>
    <vt:vector size="24" baseType="lpstr">
      <vt:lpstr>CHART</vt:lpstr>
      <vt:lpstr>Income Analysis</vt:lpstr>
      <vt:lpstr>Financial Activites</vt:lpstr>
      <vt:lpstr>Cashflow</vt:lpstr>
      <vt:lpstr>Income - 12 Period</vt:lpstr>
      <vt:lpstr>January Financial Statement</vt:lpstr>
      <vt:lpstr>February Financial Statement</vt:lpstr>
      <vt:lpstr>March Financial Statement</vt:lpstr>
      <vt:lpstr>April Financial Statement</vt:lpstr>
      <vt:lpstr>May Financial Statement</vt:lpstr>
      <vt:lpstr>June Financial Statement</vt:lpstr>
      <vt:lpstr>July Financial Statement</vt:lpstr>
      <vt:lpstr>August Financial Statement</vt:lpstr>
      <vt:lpstr>September Financial Statement</vt:lpstr>
      <vt:lpstr>October Financial Statement</vt:lpstr>
      <vt:lpstr>November Financial Statement</vt:lpstr>
      <vt:lpstr>December Financial Statement</vt:lpstr>
      <vt:lpstr>Expenses</vt:lpstr>
      <vt:lpstr>Cashflow!Print_Area</vt:lpstr>
      <vt:lpstr>CHART!Print_Area</vt:lpstr>
      <vt:lpstr>'Financial Activites'!Print_Area</vt:lpstr>
      <vt:lpstr>'Income - 12 Period'!Print_Area</vt:lpstr>
      <vt:lpstr>'Income Analysis'!Print_Area</vt:lpstr>
      <vt:lpstr>'Income - 12 Period'!Print_Titles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Oluwatosin Ayokunle</cp:lastModifiedBy>
  <cp:revision/>
  <cp:lastPrinted>2026-01-07T08:29:47Z</cp:lastPrinted>
  <dcterms:created xsi:type="dcterms:W3CDTF">2017-02-15T08:25:58Z</dcterms:created>
  <dcterms:modified xsi:type="dcterms:W3CDTF">2026-08-21T09:42:31Z</dcterms:modified>
  <cp:category/>
  <cp:contentStatus/>
</cp:coreProperties>
</file>